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hidePivotFieldList="1" defaultThemeVersion="124226"/>
  <xr:revisionPtr revIDLastSave="0" documentId="13_ncr:1_{31A11E0D-B6A0-48E5-983A-F14AA79F89A3}" xr6:coauthVersionLast="47" xr6:coauthVersionMax="47" xr10:uidLastSave="{00000000-0000-0000-0000-000000000000}"/>
  <bookViews>
    <workbookView xWindow="-110" yWindow="-110" windowWidth="19420" windowHeight="10560" tabRatio="997" firstSheet="1" activeTab="6" xr2:uid="{00000000-000D-0000-FFFF-FFFF00000000}"/>
  </bookViews>
  <sheets>
    <sheet name="بارگیری از امیرآباد به روزنک" sheetId="16" r:id="rId1"/>
    <sheet name="فروش برای شرکت نفت و گاز " sheetId="17" r:id="rId2"/>
    <sheet name="خط آهن امیرآباد الی شمتیغ" sheetId="18" r:id="rId3"/>
    <sheet name="خط آهن شمتیغ الی روزنک" sheetId="19" r:id="rId4"/>
    <sheet name="فروشات هرات" sheetId="15" r:id="rId5"/>
    <sheet name="کرایه روزنک الی هرات" sheetId="20" r:id="rId6"/>
    <sheet name="Sheet1" sheetId="22" r:id="rId7"/>
    <sheet name="محصولی" sheetId="21" r:id="rId8"/>
    <sheet name="بیلانس" sheetId="10" r:id="rId9"/>
  </sheets>
  <definedNames>
    <definedName name="_xlnm.Print_Area" localSheetId="8">بیلانس!$A$1:$K$36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0" l="1"/>
  <c r="F33" i="10"/>
  <c r="H57" i="19"/>
  <c r="J30" i="10"/>
  <c r="J31" i="10"/>
  <c r="G32" i="10"/>
  <c r="I29" i="10"/>
  <c r="G28" i="10"/>
  <c r="D51" i="21"/>
  <c r="E51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4" i="21"/>
  <c r="P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3" i="21"/>
  <c r="Q9" i="21"/>
  <c r="Q10" i="21" s="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H33" i="21"/>
  <c r="I33" i="21"/>
  <c r="H34" i="21"/>
  <c r="I34" i="21"/>
  <c r="H35" i="21"/>
  <c r="I35" i="21"/>
  <c r="H36" i="21"/>
  <c r="I36" i="21"/>
  <c r="H37" i="21"/>
  <c r="I37" i="21"/>
  <c r="H38" i="21"/>
  <c r="I38" i="21"/>
  <c r="H39" i="21"/>
  <c r="I39" i="21"/>
  <c r="H40" i="21"/>
  <c r="I40" i="21"/>
  <c r="H41" i="21"/>
  <c r="I41" i="21"/>
  <c r="H42" i="21"/>
  <c r="I42" i="21"/>
  <c r="H43" i="21"/>
  <c r="I43" i="21"/>
  <c r="H44" i="21"/>
  <c r="I44" i="21"/>
  <c r="H45" i="21"/>
  <c r="I45" i="21"/>
  <c r="H46" i="21"/>
  <c r="I46" i="21"/>
  <c r="H47" i="21"/>
  <c r="I47" i="21"/>
  <c r="H48" i="21"/>
  <c r="I48" i="21"/>
  <c r="H49" i="21"/>
  <c r="I49" i="21"/>
  <c r="H50" i="21"/>
  <c r="I50" i="21"/>
  <c r="I3" i="21"/>
  <c r="H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3" i="21"/>
  <c r="L51" i="21"/>
  <c r="G51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G51" i="20"/>
  <c r="H51" i="20"/>
  <c r="I51" i="20"/>
  <c r="J51" i="20"/>
  <c r="K51" i="20"/>
  <c r="L51" i="20"/>
  <c r="M51" i="20"/>
  <c r="F51" i="20"/>
  <c r="N14" i="20"/>
  <c r="N28" i="20"/>
  <c r="N42" i="20"/>
  <c r="M11" i="20"/>
  <c r="N11" i="20" s="1"/>
  <c r="M14" i="20"/>
  <c r="M25" i="20"/>
  <c r="N25" i="20" s="1"/>
  <c r="M28" i="20"/>
  <c r="M39" i="20"/>
  <c r="N39" i="20" s="1"/>
  <c r="M42" i="20"/>
  <c r="J8" i="20"/>
  <c r="J17" i="20"/>
  <c r="J19" i="20"/>
  <c r="J20" i="20"/>
  <c r="J21" i="20"/>
  <c r="J24" i="20"/>
  <c r="J32" i="20"/>
  <c r="J35" i="20"/>
  <c r="J45" i="20"/>
  <c r="J46" i="20"/>
  <c r="J47" i="20"/>
  <c r="J49" i="20"/>
  <c r="J50" i="20"/>
  <c r="H4" i="20"/>
  <c r="J4" i="20" s="1"/>
  <c r="H5" i="20"/>
  <c r="H6" i="20"/>
  <c r="H7" i="20"/>
  <c r="J7" i="20" s="1"/>
  <c r="H8" i="20"/>
  <c r="H9" i="20"/>
  <c r="J9" i="20" s="1"/>
  <c r="H10" i="20"/>
  <c r="J10" i="20" s="1"/>
  <c r="H11" i="20"/>
  <c r="J11" i="20" s="1"/>
  <c r="H12" i="20"/>
  <c r="H13" i="20"/>
  <c r="H14" i="20"/>
  <c r="J14" i="20" s="1"/>
  <c r="H15" i="20"/>
  <c r="J15" i="20" s="1"/>
  <c r="H16" i="20"/>
  <c r="J16" i="20" s="1"/>
  <c r="H17" i="20"/>
  <c r="H18" i="20"/>
  <c r="H19" i="20"/>
  <c r="H20" i="20"/>
  <c r="H21" i="20"/>
  <c r="H22" i="20"/>
  <c r="H23" i="20"/>
  <c r="H24" i="20"/>
  <c r="H25" i="20"/>
  <c r="J25" i="20" s="1"/>
  <c r="H26" i="20"/>
  <c r="H27" i="20"/>
  <c r="H28" i="20"/>
  <c r="J28" i="20" s="1"/>
  <c r="H29" i="20"/>
  <c r="J29" i="20" s="1"/>
  <c r="H30" i="20"/>
  <c r="J30" i="20" s="1"/>
  <c r="H31" i="20"/>
  <c r="H32" i="20"/>
  <c r="H33" i="20"/>
  <c r="H34" i="20"/>
  <c r="H35" i="20"/>
  <c r="H36" i="20"/>
  <c r="H37" i="20"/>
  <c r="H38" i="20"/>
  <c r="H39" i="20"/>
  <c r="J39" i="20" s="1"/>
  <c r="H40" i="20"/>
  <c r="J40" i="20" s="1"/>
  <c r="H41" i="20"/>
  <c r="J41" i="20" s="1"/>
  <c r="H42" i="20"/>
  <c r="H43" i="20"/>
  <c r="H44" i="20"/>
  <c r="H45" i="20"/>
  <c r="H46" i="20"/>
  <c r="H47" i="20"/>
  <c r="H48" i="20"/>
  <c r="H49" i="20"/>
  <c r="H50" i="20"/>
  <c r="H3" i="20"/>
  <c r="J3" i="20" s="1"/>
  <c r="F4" i="20"/>
  <c r="M4" i="20" s="1"/>
  <c r="N4" i="20" s="1"/>
  <c r="F5" i="20"/>
  <c r="M5" i="20" s="1"/>
  <c r="N5" i="20" s="1"/>
  <c r="F6" i="20"/>
  <c r="M6" i="20" s="1"/>
  <c r="N6" i="20" s="1"/>
  <c r="F7" i="20"/>
  <c r="M7" i="20" s="1"/>
  <c r="N7" i="20" s="1"/>
  <c r="F8" i="20"/>
  <c r="M8" i="20" s="1"/>
  <c r="N8" i="20" s="1"/>
  <c r="F9" i="20"/>
  <c r="M9" i="20" s="1"/>
  <c r="N9" i="20" s="1"/>
  <c r="F10" i="20"/>
  <c r="M10" i="20" s="1"/>
  <c r="N10" i="20" s="1"/>
  <c r="F11" i="20"/>
  <c r="F12" i="20"/>
  <c r="M12" i="20" s="1"/>
  <c r="N12" i="20" s="1"/>
  <c r="F13" i="20"/>
  <c r="M13" i="20" s="1"/>
  <c r="N13" i="20" s="1"/>
  <c r="F14" i="20"/>
  <c r="F15" i="20"/>
  <c r="M15" i="20" s="1"/>
  <c r="N15" i="20" s="1"/>
  <c r="F16" i="20"/>
  <c r="M16" i="20" s="1"/>
  <c r="N16" i="20" s="1"/>
  <c r="F17" i="20"/>
  <c r="M17" i="20" s="1"/>
  <c r="N17" i="20" s="1"/>
  <c r="F18" i="20"/>
  <c r="M18" i="20" s="1"/>
  <c r="N18" i="20" s="1"/>
  <c r="F19" i="20"/>
  <c r="M19" i="20" s="1"/>
  <c r="N19" i="20" s="1"/>
  <c r="F20" i="20"/>
  <c r="M20" i="20" s="1"/>
  <c r="N20" i="20" s="1"/>
  <c r="F21" i="20"/>
  <c r="M21" i="20" s="1"/>
  <c r="N21" i="20" s="1"/>
  <c r="F22" i="20"/>
  <c r="M22" i="20" s="1"/>
  <c r="N22" i="20" s="1"/>
  <c r="F23" i="20"/>
  <c r="M23" i="20" s="1"/>
  <c r="N23" i="20" s="1"/>
  <c r="F24" i="20"/>
  <c r="M24" i="20" s="1"/>
  <c r="N24" i="20" s="1"/>
  <c r="F25" i="20"/>
  <c r="F26" i="20"/>
  <c r="M26" i="20" s="1"/>
  <c r="N26" i="20" s="1"/>
  <c r="F27" i="20"/>
  <c r="M27" i="20" s="1"/>
  <c r="N27" i="20" s="1"/>
  <c r="F28" i="20"/>
  <c r="F29" i="20"/>
  <c r="M29" i="20" s="1"/>
  <c r="N29" i="20" s="1"/>
  <c r="F30" i="20"/>
  <c r="M30" i="20" s="1"/>
  <c r="N30" i="20" s="1"/>
  <c r="F31" i="20"/>
  <c r="M31" i="20" s="1"/>
  <c r="N31" i="20" s="1"/>
  <c r="F32" i="20"/>
  <c r="M32" i="20" s="1"/>
  <c r="N32" i="20" s="1"/>
  <c r="F33" i="20"/>
  <c r="M33" i="20" s="1"/>
  <c r="N33" i="20" s="1"/>
  <c r="F34" i="20"/>
  <c r="M34" i="20" s="1"/>
  <c r="N34" i="20" s="1"/>
  <c r="F35" i="20"/>
  <c r="M35" i="20" s="1"/>
  <c r="N35" i="20" s="1"/>
  <c r="F36" i="20"/>
  <c r="M36" i="20" s="1"/>
  <c r="N36" i="20" s="1"/>
  <c r="F37" i="20"/>
  <c r="M37" i="20" s="1"/>
  <c r="N37" i="20" s="1"/>
  <c r="F38" i="20"/>
  <c r="M38" i="20" s="1"/>
  <c r="N38" i="20" s="1"/>
  <c r="F39" i="20"/>
  <c r="F40" i="20"/>
  <c r="M40" i="20" s="1"/>
  <c r="N40" i="20" s="1"/>
  <c r="F41" i="20"/>
  <c r="M41" i="20" s="1"/>
  <c r="N41" i="20" s="1"/>
  <c r="F42" i="20"/>
  <c r="F43" i="20"/>
  <c r="M43" i="20" s="1"/>
  <c r="N43" i="20" s="1"/>
  <c r="F44" i="20"/>
  <c r="M44" i="20" s="1"/>
  <c r="N44" i="20" s="1"/>
  <c r="F45" i="20"/>
  <c r="M45" i="20" s="1"/>
  <c r="N45" i="20" s="1"/>
  <c r="F46" i="20"/>
  <c r="M46" i="20" s="1"/>
  <c r="N46" i="20" s="1"/>
  <c r="F47" i="20"/>
  <c r="M47" i="20" s="1"/>
  <c r="N47" i="20" s="1"/>
  <c r="F48" i="20"/>
  <c r="M48" i="20" s="1"/>
  <c r="N48" i="20" s="1"/>
  <c r="F49" i="20"/>
  <c r="M49" i="20" s="1"/>
  <c r="N49" i="20" s="1"/>
  <c r="F50" i="20"/>
  <c r="M50" i="20" s="1"/>
  <c r="N50" i="20" s="1"/>
  <c r="F3" i="20"/>
  <c r="M3" i="20" s="1"/>
  <c r="N3" i="20" s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K51" i="21" l="1"/>
  <c r="I51" i="21"/>
  <c r="H51" i="21"/>
  <c r="J51" i="21"/>
  <c r="F51" i="21"/>
  <c r="P51" i="21" l="1"/>
  <c r="O51" i="21"/>
  <c r="N51" i="20"/>
  <c r="I26" i="10" l="1"/>
  <c r="G25" i="10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E57" i="19"/>
  <c r="H5" i="19"/>
  <c r="H4" i="19"/>
  <c r="H3" i="19"/>
  <c r="G24" i="10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4" i="18"/>
  <c r="H3" i="18"/>
  <c r="H57" i="18" s="1"/>
  <c r="E57" i="18"/>
  <c r="F23" i="10"/>
  <c r="I23" i="10" s="1"/>
  <c r="I14" i="10"/>
  <c r="I15" i="10"/>
  <c r="I16" i="10"/>
  <c r="I17" i="10"/>
  <c r="I18" i="10"/>
  <c r="I19" i="10"/>
  <c r="I20" i="10"/>
  <c r="I21" i="10"/>
  <c r="I13" i="10"/>
  <c r="G54" i="15" l="1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" i="15"/>
  <c r="I6" i="15"/>
  <c r="I4" i="15"/>
  <c r="E25" i="17"/>
  <c r="E58" i="16"/>
  <c r="I54" i="15" l="1"/>
  <c r="I11" i="10" l="1"/>
  <c r="I9" i="10" l="1"/>
  <c r="I10" i="10"/>
  <c r="I8" i="10" l="1"/>
  <c r="I7" i="10" l="1"/>
  <c r="I6" i="10"/>
  <c r="I5" i="10"/>
  <c r="K5" i="10" l="1"/>
  <c r="K6" i="10" s="1"/>
  <c r="J36" i="10"/>
  <c r="K7" i="10" l="1"/>
  <c r="K8" i="10" l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l="1"/>
  <c r="K25" i="10" s="1"/>
  <c r="K26" i="10" s="1"/>
  <c r="K27" i="10" s="1"/>
  <c r="K28" i="10" s="1"/>
  <c r="K29" i="10" s="1"/>
  <c r="K30" i="10" s="1"/>
  <c r="K31" i="10" s="1"/>
  <c r="K32" i="10" s="1"/>
  <c r="I33" i="10" l="1"/>
  <c r="I36" i="10" s="1"/>
  <c r="K33" i="10" l="1"/>
</calcChain>
</file>

<file path=xl/sharedStrings.xml><?xml version="1.0" encoding="utf-8"?>
<sst xmlns="http://schemas.openxmlformats.org/spreadsheetml/2006/main" count="573" uniqueCount="139">
  <si>
    <t>شماره</t>
  </si>
  <si>
    <t xml:space="preserve">تاریخ </t>
  </si>
  <si>
    <t>تفصیلات داد و ستود</t>
  </si>
  <si>
    <t xml:space="preserve">مقدار تن </t>
  </si>
  <si>
    <t xml:space="preserve">فی تن به $ </t>
  </si>
  <si>
    <t>بیلانس</t>
  </si>
  <si>
    <t>مصارف</t>
  </si>
  <si>
    <t>عواید</t>
  </si>
  <si>
    <t>Weight</t>
  </si>
  <si>
    <t>NO</t>
  </si>
  <si>
    <t>Date Loading</t>
  </si>
  <si>
    <t>Consignee</t>
  </si>
  <si>
    <t>تعداد موتر / واگون</t>
  </si>
  <si>
    <t>Distination</t>
  </si>
  <si>
    <t>Wagon  - No</t>
  </si>
  <si>
    <t>Vessel GEROY ROSSI</t>
  </si>
  <si>
    <t>خرید پطرول از فابریکه - BNK-HUMOR</t>
  </si>
  <si>
    <t>خرید پطرول از فابریکه  BNK - SOLVEX</t>
  </si>
  <si>
    <t>خرید پطرول از فابریکه  PETROGAS</t>
  </si>
  <si>
    <t>کرایه مخازن الینکا</t>
  </si>
  <si>
    <t>مصارف CASPINFLOT فی تن 35 روبل</t>
  </si>
  <si>
    <t xml:space="preserve">مصارف SURVEYOR </t>
  </si>
  <si>
    <t>کرایه کشتی از SELANDIA LINES</t>
  </si>
  <si>
    <t>دیمیرج کشتی</t>
  </si>
  <si>
    <t>فروشات در هرات</t>
  </si>
  <si>
    <t>سریال نمبر تکت</t>
  </si>
  <si>
    <t>دریور</t>
  </si>
  <si>
    <t>نمبر موتر</t>
  </si>
  <si>
    <t>وزن فروش</t>
  </si>
  <si>
    <t>فی فروش</t>
  </si>
  <si>
    <t>قیمت فروش</t>
  </si>
  <si>
    <t>بصیراحمد</t>
  </si>
  <si>
    <t>فریدون</t>
  </si>
  <si>
    <t xml:space="preserve">غلام سخی </t>
  </si>
  <si>
    <t>نجیب الله</t>
  </si>
  <si>
    <t>حامد</t>
  </si>
  <si>
    <t>عبدالله</t>
  </si>
  <si>
    <t>20/1/1405</t>
  </si>
  <si>
    <t>شیر حسن</t>
  </si>
  <si>
    <t>حفیظ الله</t>
  </si>
  <si>
    <t>محسن</t>
  </si>
  <si>
    <t>23/1/1405</t>
  </si>
  <si>
    <t>فیض الله</t>
  </si>
  <si>
    <t>نورالله</t>
  </si>
  <si>
    <t>خلیل احمد</t>
  </si>
  <si>
    <t>امید</t>
  </si>
  <si>
    <t>24/1/1405</t>
  </si>
  <si>
    <t>فضل احمد</t>
  </si>
  <si>
    <t>25/1/1450</t>
  </si>
  <si>
    <t>شاه محمود</t>
  </si>
  <si>
    <t>خیرالله</t>
  </si>
  <si>
    <t>محمد اکبر</t>
  </si>
  <si>
    <t>محمد زی</t>
  </si>
  <si>
    <t>حاجی اجمل</t>
  </si>
  <si>
    <t>25/1/1405</t>
  </si>
  <si>
    <t>26/1/1405</t>
  </si>
  <si>
    <t>محمد</t>
  </si>
  <si>
    <t>زلمی</t>
  </si>
  <si>
    <t>نصیب الله</t>
  </si>
  <si>
    <t>حنیف</t>
  </si>
  <si>
    <t>احمدشاه</t>
  </si>
  <si>
    <t>27/1/1405</t>
  </si>
  <si>
    <t>حمزه</t>
  </si>
  <si>
    <t>شیرحسن</t>
  </si>
  <si>
    <t>محمد آصف</t>
  </si>
  <si>
    <t>محمد جان</t>
  </si>
  <si>
    <t>یوسف</t>
  </si>
  <si>
    <t>فرهاد</t>
  </si>
  <si>
    <t>احمدشاه2</t>
  </si>
  <si>
    <t>28/1/1405</t>
  </si>
  <si>
    <t>یاسر</t>
  </si>
  <si>
    <t>احمد شاه</t>
  </si>
  <si>
    <t>الله داد</t>
  </si>
  <si>
    <t>حبیب الله</t>
  </si>
  <si>
    <t>عبدالخالق</t>
  </si>
  <si>
    <t>ضیاءالدین</t>
  </si>
  <si>
    <t>سعید</t>
  </si>
  <si>
    <t>عیسی</t>
  </si>
  <si>
    <t>شهرام</t>
  </si>
  <si>
    <t>عبدالحد</t>
  </si>
  <si>
    <t>داود</t>
  </si>
  <si>
    <t>بشیراحمد</t>
  </si>
  <si>
    <t>زرین</t>
  </si>
  <si>
    <t>میران</t>
  </si>
  <si>
    <t>برده گی حاجی عالم یوسفی</t>
  </si>
  <si>
    <t>برده گی صادق سمنگانی</t>
  </si>
  <si>
    <t xml:space="preserve">فروشات به نفت و گاز افغانستان </t>
  </si>
  <si>
    <t>CMR</t>
  </si>
  <si>
    <t>Fawad coltd</t>
  </si>
  <si>
    <t>AmirAbad - Rozanak</t>
  </si>
  <si>
    <t>ترخیصیه به شرکت شمیم دریایی آریا</t>
  </si>
  <si>
    <t>بابت بن تضمین بیمه</t>
  </si>
  <si>
    <t>خدمات بندری به سازمان بنادر و دریانوردی</t>
  </si>
  <si>
    <t>بابت مالیات سازمان بنادر و دریانوردی</t>
  </si>
  <si>
    <t>شرکت آراد سیرشرق بابت خدمات خنکاری</t>
  </si>
  <si>
    <t>بابت خدمات انجام آزمایش به آزمایشگاه انرژی شمال</t>
  </si>
  <si>
    <t>هزینه پلمپ</t>
  </si>
  <si>
    <t xml:space="preserve">هزینه خدمات نماینده بندر امیرآباد 350 دالر </t>
  </si>
  <si>
    <t>هزینه باسکول واگن</t>
  </si>
  <si>
    <t>هزینه بازرسی</t>
  </si>
  <si>
    <t>فورواردری</t>
  </si>
  <si>
    <t>مصارف تومانی در ایران توسط شرکت گوهر نگار توس</t>
  </si>
  <si>
    <t>کرایه خط آهن توسط شرکت آقای موسوی</t>
  </si>
  <si>
    <t>تاریخ</t>
  </si>
  <si>
    <t>سیمیر</t>
  </si>
  <si>
    <t xml:space="preserve">نمبر واگون </t>
  </si>
  <si>
    <t>وزن سیمیر</t>
  </si>
  <si>
    <t xml:space="preserve">وزن محاسبه </t>
  </si>
  <si>
    <t>فی تن محاسبه</t>
  </si>
  <si>
    <t>کرایه خط آهن</t>
  </si>
  <si>
    <t>مصارف خط آهن - شرکت موسوی</t>
  </si>
  <si>
    <t xml:space="preserve">مصارف غیر رسمی </t>
  </si>
  <si>
    <t>فی تن کرایه</t>
  </si>
  <si>
    <t>مجموع</t>
  </si>
  <si>
    <t>وزن تخلیه</t>
  </si>
  <si>
    <t>کمبودی</t>
  </si>
  <si>
    <t>حواکت</t>
  </si>
  <si>
    <t>کمبود قابل مجرا</t>
  </si>
  <si>
    <t>مجرای کمبودی</t>
  </si>
  <si>
    <t>شب خواب</t>
  </si>
  <si>
    <t>مجموع پرداختی به افغانی</t>
  </si>
  <si>
    <t>کرایه به دالر</t>
  </si>
  <si>
    <t>لیست کرایه موترها از روزنک الی هرات</t>
  </si>
  <si>
    <t>کرایه موترها از روزنک الی هرات</t>
  </si>
  <si>
    <t>مصارف محصولی</t>
  </si>
  <si>
    <t>مصارف فواید عامه</t>
  </si>
  <si>
    <t>کمیشن بانک</t>
  </si>
  <si>
    <t>نورم استندرد</t>
  </si>
  <si>
    <t>حق الخدمه مواد نفت</t>
  </si>
  <si>
    <t>مصارف 20 پول</t>
  </si>
  <si>
    <t>مصارف خط آهن</t>
  </si>
  <si>
    <t>بارنامه واگون فی واگون 500</t>
  </si>
  <si>
    <t>ترازوی موتر</t>
  </si>
  <si>
    <t>کمیشن بارچلان</t>
  </si>
  <si>
    <t>مصارف مالیه جواز</t>
  </si>
  <si>
    <t>فروشات به ارمنستان  به شرکت LLC MAX</t>
  </si>
  <si>
    <t xml:space="preserve">مفاد قرارداد </t>
  </si>
  <si>
    <t>نفت و گاز افغانستان</t>
  </si>
  <si>
    <r>
      <t xml:space="preserve">کرایه خط آهن - از شمتیغ الی روزنک -  شرکت </t>
    </r>
    <r>
      <rPr>
        <b/>
        <sz val="11"/>
        <color rgb="FFFF0000"/>
        <rFont val="Arial"/>
        <family val="2"/>
      </rPr>
      <t>کنسرسیوم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</si>
</sst>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dd\.mm\.yy;@"/>
    <numFmt numFmtId="168" formatCode="dd\.mm\.yyyy;@"/>
    <numFmt numFmtId="169" formatCode="[$$-409]#,##0.00"/>
    <numFmt numFmtId="170" formatCode="#,##0.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6"/>
      <color rgb="FFFF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B Yagut"/>
      <charset val="178"/>
    </font>
    <font>
      <sz val="10"/>
      <name val="Arial"/>
      <family val="2"/>
    </font>
    <font>
      <b/>
      <sz val="10"/>
      <color indexed="61"/>
      <name val="Arial"/>
      <family val="2"/>
    </font>
    <font>
      <sz val="10"/>
      <color indexed="6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color theme="5" tint="-0.249977111117893"/>
      <name val="Times New Roman"/>
      <family val="1"/>
      <charset val="204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rgb="FF7030A0"/>
      <name val="Arial"/>
      <family val="2"/>
    </font>
    <font>
      <b/>
      <sz val="9"/>
      <color indexed="14"/>
      <name val="Arial"/>
      <family val="2"/>
    </font>
    <font>
      <b/>
      <sz val="9"/>
      <color indexed="61"/>
      <name val="Arial"/>
      <family val="2"/>
    </font>
    <font>
      <b/>
      <sz val="10"/>
      <color rgb="FF963634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  <charset val="204"/>
    </font>
    <font>
      <b/>
      <sz val="24"/>
      <color rgb="FFFF0000"/>
      <name val="Arial"/>
      <family val="2"/>
    </font>
    <font>
      <sz val="11"/>
      <color rgb="FF000000"/>
      <name val="Calibri"/>
      <family val="2"/>
    </font>
    <font>
      <b/>
      <sz val="9"/>
      <color rgb="FFFF00FF"/>
      <name val="Arial"/>
      <family val="2"/>
    </font>
    <font>
      <b/>
      <sz val="11"/>
      <color rgb="FF7030A0"/>
      <name val="Arial"/>
      <family val="2"/>
    </font>
    <font>
      <sz val="2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12" fillId="2" borderId="0" xfId="0" applyFont="1" applyFill="1"/>
    <xf numFmtId="0" fontId="11" fillId="2" borderId="0" xfId="0" applyFont="1" applyFill="1" applyAlignment="1">
      <alignment horizontal="center"/>
    </xf>
    <xf numFmtId="0" fontId="13" fillId="2" borderId="0" xfId="0" applyFont="1" applyFill="1"/>
    <xf numFmtId="0" fontId="2" fillId="2" borderId="0" xfId="0" applyFont="1" applyFill="1"/>
    <xf numFmtId="164" fontId="8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 vertical="top"/>
    </xf>
    <xf numFmtId="165" fontId="8" fillId="2" borderId="0" xfId="0" applyNumberFormat="1" applyFont="1" applyFill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/>
    <xf numFmtId="164" fontId="8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166" fontId="3" fillId="0" borderId="7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 applyProtection="1">
      <alignment horizontal="center" vertical="center" shrinkToFit="1"/>
      <protection locked="0"/>
    </xf>
    <xf numFmtId="14" fontId="11" fillId="2" borderId="7" xfId="0" applyNumberFormat="1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top"/>
    </xf>
    <xf numFmtId="0" fontId="3" fillId="2" borderId="4" xfId="0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66" fontId="17" fillId="0" borderId="7" xfId="1" applyNumberFormat="1" applyFont="1" applyFill="1" applyBorder="1" applyAlignment="1">
      <alignment horizontal="center" vertical="center"/>
    </xf>
    <xf numFmtId="166" fontId="18" fillId="0" borderId="7" xfId="1" applyNumberFormat="1" applyFont="1" applyFill="1" applyBorder="1" applyAlignment="1">
      <alignment horizontal="center" vertical="center"/>
    </xf>
    <xf numFmtId="166" fontId="19" fillId="0" borderId="9" xfId="1" applyNumberFormat="1" applyFont="1" applyFill="1" applyBorder="1" applyAlignment="1">
      <alignment horizontal="center" vertical="center"/>
    </xf>
    <xf numFmtId="44" fontId="21" fillId="0" borderId="7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14" fontId="11" fillId="3" borderId="7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44" fontId="21" fillId="2" borderId="7" xfId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shrinkToFit="1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64" fontId="20" fillId="0" borderId="2" xfId="0" applyNumberFormat="1" applyFont="1" applyBorder="1" applyAlignment="1">
      <alignment horizontal="center" vertical="center"/>
    </xf>
    <xf numFmtId="166" fontId="19" fillId="0" borderId="3" xfId="1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shrinkToFit="1"/>
    </xf>
    <xf numFmtId="0" fontId="6" fillId="5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166" fontId="17" fillId="2" borderId="0" xfId="1" applyNumberFormat="1" applyFont="1" applyFill="1" applyBorder="1" applyAlignment="1">
      <alignment horizontal="center"/>
    </xf>
    <xf numFmtId="166" fontId="18" fillId="2" borderId="0" xfId="1" applyNumberFormat="1" applyFont="1" applyFill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" fontId="11" fillId="4" borderId="12" xfId="0" applyNumberFormat="1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 wrapText="1"/>
    </xf>
    <xf numFmtId="2" fontId="0" fillId="0" borderId="0" xfId="0" applyNumberFormat="1"/>
    <xf numFmtId="44" fontId="21" fillId="2" borderId="16" xfId="1" applyFont="1" applyFill="1" applyBorder="1" applyAlignment="1">
      <alignment horizontal="center" vertical="center"/>
    </xf>
    <xf numFmtId="166" fontId="3" fillId="2" borderId="16" xfId="1" applyNumberFormat="1" applyFont="1" applyFill="1" applyBorder="1" applyAlignment="1">
      <alignment horizontal="center" vertical="center"/>
    </xf>
    <xf numFmtId="166" fontId="17" fillId="0" borderId="16" xfId="1" applyNumberFormat="1" applyFont="1" applyFill="1" applyBorder="1" applyAlignment="1">
      <alignment horizontal="center" vertical="center"/>
    </xf>
    <xf numFmtId="166" fontId="18" fillId="0" borderId="16" xfId="1" applyNumberFormat="1" applyFont="1" applyFill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6" fillId="6" borderId="18" xfId="0" applyFont="1" applyFill="1" applyBorder="1" applyAlignment="1">
      <alignment horizontal="center" vertical="center" shrinkToFit="1"/>
    </xf>
    <xf numFmtId="0" fontId="6" fillId="6" borderId="16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164" fontId="6" fillId="6" borderId="16" xfId="0" applyNumberFormat="1" applyFont="1" applyFill="1" applyBorder="1" applyAlignment="1">
      <alignment horizontal="center" vertical="center"/>
    </xf>
    <xf numFmtId="1" fontId="6" fillId="6" borderId="16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27" fillId="3" borderId="7" xfId="0" applyNumberFormat="1" applyFont="1" applyFill="1" applyBorder="1" applyAlignment="1">
      <alignment horizontal="center" vertical="center"/>
    </xf>
    <xf numFmtId="166" fontId="16" fillId="3" borderId="7" xfId="1" applyNumberFormat="1" applyFont="1" applyFill="1" applyBorder="1" applyAlignment="1">
      <alignment horizontal="center" vertical="center"/>
    </xf>
    <xf numFmtId="0" fontId="2" fillId="3" borderId="10" xfId="0" applyFont="1" applyFill="1" applyBorder="1"/>
    <xf numFmtId="0" fontId="11" fillId="3" borderId="4" xfId="0" applyFont="1" applyFill="1" applyBorder="1" applyAlignment="1">
      <alignment horizontal="center"/>
    </xf>
    <xf numFmtId="0" fontId="13" fillId="3" borderId="4" xfId="0" applyFont="1" applyFill="1" applyBorder="1"/>
    <xf numFmtId="164" fontId="27" fillId="3" borderId="4" xfId="0" applyNumberFormat="1" applyFont="1" applyFill="1" applyBorder="1" applyAlignment="1">
      <alignment horizontal="center" vertical="center"/>
    </xf>
    <xf numFmtId="166" fontId="22" fillId="3" borderId="4" xfId="1" applyNumberFormat="1" applyFont="1" applyFill="1" applyBorder="1" applyAlignment="1">
      <alignment horizontal="center" vertical="center"/>
    </xf>
    <xf numFmtId="166" fontId="16" fillId="3" borderId="4" xfId="1" applyNumberFormat="1" applyFont="1" applyFill="1" applyBorder="1" applyAlignment="1">
      <alignment horizontal="center" vertical="center"/>
    </xf>
    <xf numFmtId="166" fontId="28" fillId="3" borderId="7" xfId="1" applyNumberFormat="1" applyFont="1" applyFill="1" applyBorder="1" applyAlignment="1">
      <alignment horizontal="center" vertical="center"/>
    </xf>
    <xf numFmtId="44" fontId="0" fillId="2" borderId="0" xfId="0" applyNumberFormat="1" applyFill="1"/>
    <xf numFmtId="0" fontId="5" fillId="3" borderId="0" xfId="0" applyFont="1" applyFill="1"/>
    <xf numFmtId="0" fontId="5" fillId="0" borderId="0" xfId="0" applyFont="1"/>
    <xf numFmtId="0" fontId="24" fillId="0" borderId="1" xfId="0" applyFont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64" fontId="11" fillId="3" borderId="7" xfId="1" applyNumberFormat="1" applyFont="1" applyFill="1" applyBorder="1" applyAlignment="1">
      <alignment horizontal="center" vertical="center"/>
    </xf>
    <xf numFmtId="1" fontId="11" fillId="3" borderId="7" xfId="0" applyNumberFormat="1" applyFont="1" applyFill="1" applyBorder="1" applyAlignment="1">
      <alignment horizontal="center" vertical="center"/>
    </xf>
    <xf numFmtId="14" fontId="11" fillId="3" borderId="9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0" fillId="0" borderId="0" xfId="0" applyNumberFormat="1"/>
    <xf numFmtId="1" fontId="20" fillId="0" borderId="6" xfId="0" applyNumberFormat="1" applyFont="1" applyBorder="1" applyAlignment="1">
      <alignment horizontal="center" vertical="center"/>
    </xf>
    <xf numFmtId="0" fontId="21" fillId="0" borderId="7" xfId="1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44" fontId="11" fillId="3" borderId="27" xfId="1" applyFont="1" applyFill="1" applyBorder="1" applyAlignment="1">
      <alignment horizontal="center" vertical="center"/>
    </xf>
    <xf numFmtId="44" fontId="11" fillId="3" borderId="9" xfId="1" applyFont="1" applyFill="1" applyBorder="1" applyAlignment="1">
      <alignment horizontal="center" vertical="center"/>
    </xf>
    <xf numFmtId="44" fontId="11" fillId="3" borderId="26" xfId="1" applyFont="1" applyFill="1" applyBorder="1" applyAlignment="1">
      <alignment horizontal="center" vertical="center"/>
    </xf>
    <xf numFmtId="44" fontId="11" fillId="3" borderId="3" xfId="1" applyFont="1" applyFill="1" applyBorder="1" applyAlignment="1">
      <alignment horizontal="center" vertical="center"/>
    </xf>
    <xf numFmtId="44" fontId="11" fillId="3" borderId="0" xfId="1" applyFont="1" applyFill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4" fontId="30" fillId="0" borderId="7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/>
    </xf>
    <xf numFmtId="164" fontId="32" fillId="0" borderId="7" xfId="0" applyNumberFormat="1" applyFont="1" applyBorder="1" applyAlignment="1">
      <alignment horizontal="center" vertical="center"/>
    </xf>
    <xf numFmtId="164" fontId="32" fillId="3" borderId="7" xfId="0" applyNumberFormat="1" applyFont="1" applyFill="1" applyBorder="1" applyAlignment="1">
      <alignment horizontal="center" vertical="center"/>
    </xf>
    <xf numFmtId="44" fontId="32" fillId="0" borderId="7" xfId="1" applyFont="1" applyFill="1" applyBorder="1" applyAlignment="1">
      <alignment horizontal="center" vertical="center"/>
    </xf>
    <xf numFmtId="169" fontId="30" fillId="0" borderId="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4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4" fontId="30" fillId="0" borderId="4" xfId="0" applyNumberFormat="1" applyFont="1" applyBorder="1" applyAlignment="1">
      <alignment horizontal="center" vertical="center"/>
    </xf>
    <xf numFmtId="164" fontId="32" fillId="0" borderId="4" xfId="0" applyNumberFormat="1" applyFont="1" applyBorder="1" applyAlignment="1">
      <alignment horizontal="center" vertical="center"/>
    </xf>
    <xf numFmtId="164" fontId="32" fillId="3" borderId="4" xfId="0" applyNumberFormat="1" applyFont="1" applyFill="1" applyBorder="1" applyAlignment="1">
      <alignment horizontal="center" vertical="center"/>
    </xf>
    <xf numFmtId="44" fontId="32" fillId="0" borderId="4" xfId="1" applyFont="1" applyFill="1" applyBorder="1" applyAlignment="1">
      <alignment horizontal="center" vertical="center"/>
    </xf>
    <xf numFmtId="169" fontId="30" fillId="0" borderId="5" xfId="0" applyNumberFormat="1" applyFont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/>
    </xf>
    <xf numFmtId="170" fontId="33" fillId="7" borderId="30" xfId="0" applyNumberFormat="1" applyFont="1" applyFill="1" applyBorder="1" applyAlignment="1">
      <alignment horizontal="center" vertical="center"/>
    </xf>
    <xf numFmtId="164" fontId="33" fillId="7" borderId="31" xfId="0" applyNumberFormat="1" applyFont="1" applyFill="1" applyBorder="1" applyAlignment="1">
      <alignment horizontal="center" vertical="center"/>
    </xf>
    <xf numFmtId="169" fontId="33" fillId="7" borderId="32" xfId="0" applyNumberFormat="1" applyFont="1" applyFill="1" applyBorder="1" applyAlignment="1">
      <alignment horizontal="center" vertical="center"/>
    </xf>
    <xf numFmtId="0" fontId="32" fillId="3" borderId="7" xfId="1" applyNumberFormat="1" applyFont="1" applyFill="1" applyBorder="1" applyAlignment="1">
      <alignment horizontal="center" vertical="center"/>
    </xf>
    <xf numFmtId="0" fontId="32" fillId="3" borderId="4" xfId="1" applyNumberFormat="1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14" fontId="30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4" fontId="30" fillId="0" borderId="6" xfId="0" applyNumberFormat="1" applyFont="1" applyBorder="1" applyAlignment="1">
      <alignment horizontal="center" vertical="center"/>
    </xf>
    <xf numFmtId="164" fontId="32" fillId="0" borderId="6" xfId="0" applyNumberFormat="1" applyFont="1" applyBorder="1" applyAlignment="1">
      <alignment horizontal="center" vertical="center"/>
    </xf>
    <xf numFmtId="164" fontId="32" fillId="3" borderId="6" xfId="0" applyNumberFormat="1" applyFont="1" applyFill="1" applyBorder="1" applyAlignment="1">
      <alignment horizontal="center" vertical="center"/>
    </xf>
    <xf numFmtId="0" fontId="32" fillId="3" borderId="6" xfId="1" applyNumberFormat="1" applyFont="1" applyFill="1" applyBorder="1" applyAlignment="1">
      <alignment horizontal="center" vertical="center"/>
    </xf>
    <xf numFmtId="44" fontId="32" fillId="0" borderId="6" xfId="1" applyFont="1" applyFill="1" applyBorder="1" applyAlignment="1">
      <alignment horizontal="center" vertical="center"/>
    </xf>
    <xf numFmtId="169" fontId="30" fillId="0" borderId="15" xfId="0" applyNumberFormat="1" applyFont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 wrapText="1"/>
    </xf>
    <xf numFmtId="167" fontId="31" fillId="6" borderId="12" xfId="0" applyNumberFormat="1" applyFont="1" applyFill="1" applyBorder="1" applyAlignment="1">
      <alignment horizontal="center" vertical="center" wrapText="1"/>
    </xf>
    <xf numFmtId="164" fontId="31" fillId="6" borderId="12" xfId="0" applyNumberFormat="1" applyFont="1" applyFill="1" applyBorder="1" applyAlignment="1">
      <alignment horizontal="center" vertical="center" wrapText="1"/>
    </xf>
    <xf numFmtId="168" fontId="31" fillId="6" borderId="12" xfId="0" applyNumberFormat="1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center" vertical="center" wrapText="1"/>
    </xf>
    <xf numFmtId="44" fontId="31" fillId="6" borderId="12" xfId="1" applyFont="1" applyFill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/>
    </xf>
    <xf numFmtId="44" fontId="31" fillId="6" borderId="12" xfId="1" applyFont="1" applyFill="1" applyBorder="1" applyAlignment="1">
      <alignment horizontal="center" vertical="center" wrapText="1"/>
    </xf>
    <xf numFmtId="164" fontId="27" fillId="3" borderId="0" xfId="0" applyNumberFormat="1" applyFont="1" applyFill="1" applyAlignment="1">
      <alignment horizontal="center" vertical="center"/>
    </xf>
    <xf numFmtId="166" fontId="28" fillId="3" borderId="0" xfId="1" applyNumberFormat="1" applyFont="1" applyFill="1" applyBorder="1" applyAlignment="1">
      <alignment horizontal="center" vertical="center"/>
    </xf>
    <xf numFmtId="164" fontId="0" fillId="2" borderId="0" xfId="0" applyNumberFormat="1" applyFill="1"/>
    <xf numFmtId="14" fontId="11" fillId="2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3" fillId="2" borderId="20" xfId="0" applyNumberFormat="1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 wrapText="1"/>
    </xf>
    <xf numFmtId="14" fontId="3" fillId="2" borderId="22" xfId="0" applyNumberFormat="1" applyFont="1" applyFill="1" applyBorder="1" applyAlignment="1">
      <alignment horizontal="center" vertical="center" wrapText="1"/>
    </xf>
    <xf numFmtId="14" fontId="3" fillId="2" borderId="23" xfId="0" applyNumberFormat="1" applyFont="1" applyFill="1" applyBorder="1" applyAlignment="1">
      <alignment horizontal="center" vertical="center" wrapText="1"/>
    </xf>
    <xf numFmtId="14" fontId="3" fillId="2" borderId="24" xfId="0" applyNumberFormat="1" applyFont="1" applyFill="1" applyBorder="1" applyAlignment="1">
      <alignment horizontal="center" vertical="center" wrapText="1"/>
    </xf>
    <xf numFmtId="14" fontId="3" fillId="2" borderId="25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0</xdr:row>
      <xdr:rowOff>43815</xdr:rowOff>
    </xdr:from>
    <xdr:to>
      <xdr:col>5</xdr:col>
      <xdr:colOff>457200</xdr:colOff>
      <xdr:row>0</xdr:row>
      <xdr:rowOff>152400</xdr:rowOff>
    </xdr:to>
    <xdr:sp macro="" textlink="">
      <xdr:nvSpPr>
        <xdr:cNvPr id="5" name="WordArt 13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158633480" y="43815"/>
          <a:ext cx="297180" cy="10858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7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8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6</a:t>
          </a:r>
          <a:endParaRPr kumimoji="0" lang="en-US" sz="3600" b="1" i="0" u="none" strike="noStrike" kern="10" cap="none" spc="0" normalizeH="0" baseline="0" noProof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uLnTx/>
            <a:uFillTx/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8A8-0900-4297-A26F-2B3029265C71}">
  <dimension ref="A1:J121"/>
  <sheetViews>
    <sheetView topLeftCell="A44" workbookViewId="0">
      <selection activeCell="E23" sqref="E23:E55"/>
    </sheetView>
  </sheetViews>
  <sheetFormatPr defaultRowHeight="15.5"/>
  <cols>
    <col min="1" max="1" width="5" style="16" customWidth="1"/>
    <col min="2" max="2" width="9.90625" style="16" customWidth="1"/>
    <col min="3" max="3" width="10.54296875" style="16" customWidth="1"/>
    <col min="4" max="4" width="12.6328125" style="16" customWidth="1"/>
    <col min="5" max="5" width="13.54296875" style="16" customWidth="1"/>
    <col min="6" max="6" width="14.1796875" style="16" customWidth="1"/>
    <col min="7" max="7" width="17.54296875" style="16" customWidth="1"/>
    <col min="8" max="8" width="15.81640625" style="107" bestFit="1" customWidth="1"/>
    <col min="9" max="9" width="9.54296875" style="107" bestFit="1" customWidth="1"/>
    <col min="10" max="233" width="8.90625" style="107"/>
    <col min="234" max="234" width="7.6328125" style="107" customWidth="1"/>
    <col min="235" max="235" width="12.54296875" style="107" customWidth="1"/>
    <col min="236" max="236" width="9.36328125" style="107" customWidth="1"/>
    <col min="237" max="237" width="9.90625" style="107" customWidth="1"/>
    <col min="238" max="238" width="10.36328125" style="107" bestFit="1" customWidth="1"/>
    <col min="239" max="239" width="11.90625" style="107" customWidth="1"/>
    <col min="240" max="240" width="10.54296875" style="107" customWidth="1"/>
    <col min="241" max="241" width="13.36328125" style="107" customWidth="1"/>
    <col min="242" max="243" width="10.54296875" style="107" customWidth="1"/>
    <col min="244" max="244" width="10.6328125" style="107" customWidth="1"/>
    <col min="245" max="245" width="12.08984375" style="107" customWidth="1"/>
    <col min="246" max="249" width="10.54296875" style="107" customWidth="1"/>
    <col min="250" max="250" width="12.08984375" style="107" bestFit="1" customWidth="1"/>
    <col min="251" max="251" width="10.54296875" style="107" customWidth="1"/>
    <col min="252" max="252" width="11.36328125" style="107" customWidth="1"/>
    <col min="253" max="253" width="14.36328125" style="107" bestFit="1" customWidth="1"/>
    <col min="254" max="489" width="8.90625" style="107"/>
    <col min="490" max="490" width="7.6328125" style="107" customWidth="1"/>
    <col min="491" max="491" width="12.54296875" style="107" customWidth="1"/>
    <col min="492" max="492" width="9.36328125" style="107" customWidth="1"/>
    <col min="493" max="493" width="9.90625" style="107" customWidth="1"/>
    <col min="494" max="494" width="10.36328125" style="107" bestFit="1" customWidth="1"/>
    <col min="495" max="495" width="11.90625" style="107" customWidth="1"/>
    <col min="496" max="496" width="10.54296875" style="107" customWidth="1"/>
    <col min="497" max="497" width="13.36328125" style="107" customWidth="1"/>
    <col min="498" max="499" width="10.54296875" style="107" customWidth="1"/>
    <col min="500" max="500" width="10.6328125" style="107" customWidth="1"/>
    <col min="501" max="501" width="12.08984375" style="107" customWidth="1"/>
    <col min="502" max="505" width="10.54296875" style="107" customWidth="1"/>
    <col min="506" max="506" width="12.08984375" style="107" bestFit="1" customWidth="1"/>
    <col min="507" max="507" width="10.54296875" style="107" customWidth="1"/>
    <col min="508" max="508" width="11.36328125" style="107" customWidth="1"/>
    <col min="509" max="509" width="14.36328125" style="107" bestFit="1" customWidth="1"/>
    <col min="510" max="745" width="8.90625" style="107"/>
    <col min="746" max="746" width="7.6328125" style="107" customWidth="1"/>
    <col min="747" max="747" width="12.54296875" style="107" customWidth="1"/>
    <col min="748" max="748" width="9.36328125" style="107" customWidth="1"/>
    <col min="749" max="749" width="9.90625" style="107" customWidth="1"/>
    <col min="750" max="750" width="10.36328125" style="107" bestFit="1" customWidth="1"/>
    <col min="751" max="751" width="11.90625" style="107" customWidth="1"/>
    <col min="752" max="752" width="10.54296875" style="107" customWidth="1"/>
    <col min="753" max="753" width="13.36328125" style="107" customWidth="1"/>
    <col min="754" max="755" width="10.54296875" style="107" customWidth="1"/>
    <col min="756" max="756" width="10.6328125" style="107" customWidth="1"/>
    <col min="757" max="757" width="12.08984375" style="107" customWidth="1"/>
    <col min="758" max="761" width="10.54296875" style="107" customWidth="1"/>
    <col min="762" max="762" width="12.08984375" style="107" bestFit="1" customWidth="1"/>
    <col min="763" max="763" width="10.54296875" style="107" customWidth="1"/>
    <col min="764" max="764" width="11.36328125" style="107" customWidth="1"/>
    <col min="765" max="765" width="14.36328125" style="107" bestFit="1" customWidth="1"/>
    <col min="766" max="1001" width="8.90625" style="107"/>
    <col min="1002" max="1002" width="7.6328125" style="107" customWidth="1"/>
    <col min="1003" max="1003" width="12.54296875" style="107" customWidth="1"/>
    <col min="1004" max="1004" width="9.36328125" style="107" customWidth="1"/>
    <col min="1005" max="1005" width="9.90625" style="107" customWidth="1"/>
    <col min="1006" max="1006" width="10.36328125" style="107" bestFit="1" customWidth="1"/>
    <col min="1007" max="1007" width="11.90625" style="107" customWidth="1"/>
    <col min="1008" max="1008" width="10.54296875" style="107" customWidth="1"/>
    <col min="1009" max="1009" width="13.36328125" style="107" customWidth="1"/>
    <col min="1010" max="1011" width="10.54296875" style="107" customWidth="1"/>
    <col min="1012" max="1012" width="10.6328125" style="107" customWidth="1"/>
    <col min="1013" max="1013" width="12.08984375" style="107" customWidth="1"/>
    <col min="1014" max="1017" width="10.54296875" style="107" customWidth="1"/>
    <col min="1018" max="1018" width="12.08984375" style="107" bestFit="1" customWidth="1"/>
    <col min="1019" max="1019" width="10.54296875" style="107" customWidth="1"/>
    <col min="1020" max="1020" width="11.36328125" style="107" customWidth="1"/>
    <col min="1021" max="1021" width="14.36328125" style="107" bestFit="1" customWidth="1"/>
    <col min="1022" max="1257" width="8.90625" style="107"/>
    <col min="1258" max="1258" width="7.6328125" style="107" customWidth="1"/>
    <col min="1259" max="1259" width="12.54296875" style="107" customWidth="1"/>
    <col min="1260" max="1260" width="9.36328125" style="107" customWidth="1"/>
    <col min="1261" max="1261" width="9.90625" style="107" customWidth="1"/>
    <col min="1262" max="1262" width="10.36328125" style="107" bestFit="1" customWidth="1"/>
    <col min="1263" max="1263" width="11.90625" style="107" customWidth="1"/>
    <col min="1264" max="1264" width="10.54296875" style="107" customWidth="1"/>
    <col min="1265" max="1265" width="13.36328125" style="107" customWidth="1"/>
    <col min="1266" max="1267" width="10.54296875" style="107" customWidth="1"/>
    <col min="1268" max="1268" width="10.6328125" style="107" customWidth="1"/>
    <col min="1269" max="1269" width="12.08984375" style="107" customWidth="1"/>
    <col min="1270" max="1273" width="10.54296875" style="107" customWidth="1"/>
    <col min="1274" max="1274" width="12.08984375" style="107" bestFit="1" customWidth="1"/>
    <col min="1275" max="1275" width="10.54296875" style="107" customWidth="1"/>
    <col min="1276" max="1276" width="11.36328125" style="107" customWidth="1"/>
    <col min="1277" max="1277" width="14.36328125" style="107" bestFit="1" customWidth="1"/>
    <col min="1278" max="1513" width="8.90625" style="107"/>
    <col min="1514" max="1514" width="7.6328125" style="107" customWidth="1"/>
    <col min="1515" max="1515" width="12.54296875" style="107" customWidth="1"/>
    <col min="1516" max="1516" width="9.36328125" style="107" customWidth="1"/>
    <col min="1517" max="1517" width="9.90625" style="107" customWidth="1"/>
    <col min="1518" max="1518" width="10.36328125" style="107" bestFit="1" customWidth="1"/>
    <col min="1519" max="1519" width="11.90625" style="107" customWidth="1"/>
    <col min="1520" max="1520" width="10.54296875" style="107" customWidth="1"/>
    <col min="1521" max="1521" width="13.36328125" style="107" customWidth="1"/>
    <col min="1522" max="1523" width="10.54296875" style="107" customWidth="1"/>
    <col min="1524" max="1524" width="10.6328125" style="107" customWidth="1"/>
    <col min="1525" max="1525" width="12.08984375" style="107" customWidth="1"/>
    <col min="1526" max="1529" width="10.54296875" style="107" customWidth="1"/>
    <col min="1530" max="1530" width="12.08984375" style="107" bestFit="1" customWidth="1"/>
    <col min="1531" max="1531" width="10.54296875" style="107" customWidth="1"/>
    <col min="1532" max="1532" width="11.36328125" style="107" customWidth="1"/>
    <col min="1533" max="1533" width="14.36328125" style="107" bestFit="1" customWidth="1"/>
    <col min="1534" max="1769" width="8.90625" style="107"/>
    <col min="1770" max="1770" width="7.6328125" style="107" customWidth="1"/>
    <col min="1771" max="1771" width="12.54296875" style="107" customWidth="1"/>
    <col min="1772" max="1772" width="9.36328125" style="107" customWidth="1"/>
    <col min="1773" max="1773" width="9.90625" style="107" customWidth="1"/>
    <col min="1774" max="1774" width="10.36328125" style="107" bestFit="1" customWidth="1"/>
    <col min="1775" max="1775" width="11.90625" style="107" customWidth="1"/>
    <col min="1776" max="1776" width="10.54296875" style="107" customWidth="1"/>
    <col min="1777" max="1777" width="13.36328125" style="107" customWidth="1"/>
    <col min="1778" max="1779" width="10.54296875" style="107" customWidth="1"/>
    <col min="1780" max="1780" width="10.6328125" style="107" customWidth="1"/>
    <col min="1781" max="1781" width="12.08984375" style="107" customWidth="1"/>
    <col min="1782" max="1785" width="10.54296875" style="107" customWidth="1"/>
    <col min="1786" max="1786" width="12.08984375" style="107" bestFit="1" customWidth="1"/>
    <col min="1787" max="1787" width="10.54296875" style="107" customWidth="1"/>
    <col min="1788" max="1788" width="11.36328125" style="107" customWidth="1"/>
    <col min="1789" max="1789" width="14.36328125" style="107" bestFit="1" customWidth="1"/>
    <col min="1790" max="2025" width="8.90625" style="107"/>
    <col min="2026" max="2026" width="7.6328125" style="107" customWidth="1"/>
    <col min="2027" max="2027" width="12.54296875" style="107" customWidth="1"/>
    <col min="2028" max="2028" width="9.36328125" style="107" customWidth="1"/>
    <col min="2029" max="2029" width="9.90625" style="107" customWidth="1"/>
    <col min="2030" max="2030" width="10.36328125" style="107" bestFit="1" customWidth="1"/>
    <col min="2031" max="2031" width="11.90625" style="107" customWidth="1"/>
    <col min="2032" max="2032" width="10.54296875" style="107" customWidth="1"/>
    <col min="2033" max="2033" width="13.36328125" style="107" customWidth="1"/>
    <col min="2034" max="2035" width="10.54296875" style="107" customWidth="1"/>
    <col min="2036" max="2036" width="10.6328125" style="107" customWidth="1"/>
    <col min="2037" max="2037" width="12.08984375" style="107" customWidth="1"/>
    <col min="2038" max="2041" width="10.54296875" style="107" customWidth="1"/>
    <col min="2042" max="2042" width="12.08984375" style="107" bestFit="1" customWidth="1"/>
    <col min="2043" max="2043" width="10.54296875" style="107" customWidth="1"/>
    <col min="2044" max="2044" width="11.36328125" style="107" customWidth="1"/>
    <col min="2045" max="2045" width="14.36328125" style="107" bestFit="1" customWidth="1"/>
    <col min="2046" max="2281" width="8.90625" style="107"/>
    <col min="2282" max="2282" width="7.6328125" style="107" customWidth="1"/>
    <col min="2283" max="2283" width="12.54296875" style="107" customWidth="1"/>
    <col min="2284" max="2284" width="9.36328125" style="107" customWidth="1"/>
    <col min="2285" max="2285" width="9.90625" style="107" customWidth="1"/>
    <col min="2286" max="2286" width="10.36328125" style="107" bestFit="1" customWidth="1"/>
    <col min="2287" max="2287" width="11.90625" style="107" customWidth="1"/>
    <col min="2288" max="2288" width="10.54296875" style="107" customWidth="1"/>
    <col min="2289" max="2289" width="13.36328125" style="107" customWidth="1"/>
    <col min="2290" max="2291" width="10.54296875" style="107" customWidth="1"/>
    <col min="2292" max="2292" width="10.6328125" style="107" customWidth="1"/>
    <col min="2293" max="2293" width="12.08984375" style="107" customWidth="1"/>
    <col min="2294" max="2297" width="10.54296875" style="107" customWidth="1"/>
    <col min="2298" max="2298" width="12.08984375" style="107" bestFit="1" customWidth="1"/>
    <col min="2299" max="2299" width="10.54296875" style="107" customWidth="1"/>
    <col min="2300" max="2300" width="11.36328125" style="107" customWidth="1"/>
    <col min="2301" max="2301" width="14.36328125" style="107" bestFit="1" customWidth="1"/>
    <col min="2302" max="2537" width="8.90625" style="107"/>
    <col min="2538" max="2538" width="7.6328125" style="107" customWidth="1"/>
    <col min="2539" max="2539" width="12.54296875" style="107" customWidth="1"/>
    <col min="2540" max="2540" width="9.36328125" style="107" customWidth="1"/>
    <col min="2541" max="2541" width="9.90625" style="107" customWidth="1"/>
    <col min="2542" max="2542" width="10.36328125" style="107" bestFit="1" customWidth="1"/>
    <col min="2543" max="2543" width="11.90625" style="107" customWidth="1"/>
    <col min="2544" max="2544" width="10.54296875" style="107" customWidth="1"/>
    <col min="2545" max="2545" width="13.36328125" style="107" customWidth="1"/>
    <col min="2546" max="2547" width="10.54296875" style="107" customWidth="1"/>
    <col min="2548" max="2548" width="10.6328125" style="107" customWidth="1"/>
    <col min="2549" max="2549" width="12.08984375" style="107" customWidth="1"/>
    <col min="2550" max="2553" width="10.54296875" style="107" customWidth="1"/>
    <col min="2554" max="2554" width="12.08984375" style="107" bestFit="1" customWidth="1"/>
    <col min="2555" max="2555" width="10.54296875" style="107" customWidth="1"/>
    <col min="2556" max="2556" width="11.36328125" style="107" customWidth="1"/>
    <col min="2557" max="2557" width="14.36328125" style="107" bestFit="1" customWidth="1"/>
    <col min="2558" max="2793" width="8.90625" style="107"/>
    <col min="2794" max="2794" width="7.6328125" style="107" customWidth="1"/>
    <col min="2795" max="2795" width="12.54296875" style="107" customWidth="1"/>
    <col min="2796" max="2796" width="9.36328125" style="107" customWidth="1"/>
    <col min="2797" max="2797" width="9.90625" style="107" customWidth="1"/>
    <col min="2798" max="2798" width="10.36328125" style="107" bestFit="1" customWidth="1"/>
    <col min="2799" max="2799" width="11.90625" style="107" customWidth="1"/>
    <col min="2800" max="2800" width="10.54296875" style="107" customWidth="1"/>
    <col min="2801" max="2801" width="13.36328125" style="107" customWidth="1"/>
    <col min="2802" max="2803" width="10.54296875" style="107" customWidth="1"/>
    <col min="2804" max="2804" width="10.6328125" style="107" customWidth="1"/>
    <col min="2805" max="2805" width="12.08984375" style="107" customWidth="1"/>
    <col min="2806" max="2809" width="10.54296875" style="107" customWidth="1"/>
    <col min="2810" max="2810" width="12.08984375" style="107" bestFit="1" customWidth="1"/>
    <col min="2811" max="2811" width="10.54296875" style="107" customWidth="1"/>
    <col min="2812" max="2812" width="11.36328125" style="107" customWidth="1"/>
    <col min="2813" max="2813" width="14.36328125" style="107" bestFit="1" customWidth="1"/>
    <col min="2814" max="3049" width="8.90625" style="107"/>
    <col min="3050" max="3050" width="7.6328125" style="107" customWidth="1"/>
    <col min="3051" max="3051" width="12.54296875" style="107" customWidth="1"/>
    <col min="3052" max="3052" width="9.36328125" style="107" customWidth="1"/>
    <col min="3053" max="3053" width="9.90625" style="107" customWidth="1"/>
    <col min="3054" max="3054" width="10.36328125" style="107" bestFit="1" customWidth="1"/>
    <col min="3055" max="3055" width="11.90625" style="107" customWidth="1"/>
    <col min="3056" max="3056" width="10.54296875" style="107" customWidth="1"/>
    <col min="3057" max="3057" width="13.36328125" style="107" customWidth="1"/>
    <col min="3058" max="3059" width="10.54296875" style="107" customWidth="1"/>
    <col min="3060" max="3060" width="10.6328125" style="107" customWidth="1"/>
    <col min="3061" max="3061" width="12.08984375" style="107" customWidth="1"/>
    <col min="3062" max="3065" width="10.54296875" style="107" customWidth="1"/>
    <col min="3066" max="3066" width="12.08984375" style="107" bestFit="1" customWidth="1"/>
    <col min="3067" max="3067" width="10.54296875" style="107" customWidth="1"/>
    <col min="3068" max="3068" width="11.36328125" style="107" customWidth="1"/>
    <col min="3069" max="3069" width="14.36328125" style="107" bestFit="1" customWidth="1"/>
    <col min="3070" max="3305" width="8.90625" style="107"/>
    <col min="3306" max="3306" width="7.6328125" style="107" customWidth="1"/>
    <col min="3307" max="3307" width="12.54296875" style="107" customWidth="1"/>
    <col min="3308" max="3308" width="9.36328125" style="107" customWidth="1"/>
    <col min="3309" max="3309" width="9.90625" style="107" customWidth="1"/>
    <col min="3310" max="3310" width="10.36328125" style="107" bestFit="1" customWidth="1"/>
    <col min="3311" max="3311" width="11.90625" style="107" customWidth="1"/>
    <col min="3312" max="3312" width="10.54296875" style="107" customWidth="1"/>
    <col min="3313" max="3313" width="13.36328125" style="107" customWidth="1"/>
    <col min="3314" max="3315" width="10.54296875" style="107" customWidth="1"/>
    <col min="3316" max="3316" width="10.6328125" style="107" customWidth="1"/>
    <col min="3317" max="3317" width="12.08984375" style="107" customWidth="1"/>
    <col min="3318" max="3321" width="10.54296875" style="107" customWidth="1"/>
    <col min="3322" max="3322" width="12.08984375" style="107" bestFit="1" customWidth="1"/>
    <col min="3323" max="3323" width="10.54296875" style="107" customWidth="1"/>
    <col min="3324" max="3324" width="11.36328125" style="107" customWidth="1"/>
    <col min="3325" max="3325" width="14.36328125" style="107" bestFit="1" customWidth="1"/>
    <col min="3326" max="3561" width="8.90625" style="107"/>
    <col min="3562" max="3562" width="7.6328125" style="107" customWidth="1"/>
    <col min="3563" max="3563" width="12.54296875" style="107" customWidth="1"/>
    <col min="3564" max="3564" width="9.36328125" style="107" customWidth="1"/>
    <col min="3565" max="3565" width="9.90625" style="107" customWidth="1"/>
    <col min="3566" max="3566" width="10.36328125" style="107" bestFit="1" customWidth="1"/>
    <col min="3567" max="3567" width="11.90625" style="107" customWidth="1"/>
    <col min="3568" max="3568" width="10.54296875" style="107" customWidth="1"/>
    <col min="3569" max="3569" width="13.36328125" style="107" customWidth="1"/>
    <col min="3570" max="3571" width="10.54296875" style="107" customWidth="1"/>
    <col min="3572" max="3572" width="10.6328125" style="107" customWidth="1"/>
    <col min="3573" max="3573" width="12.08984375" style="107" customWidth="1"/>
    <col min="3574" max="3577" width="10.54296875" style="107" customWidth="1"/>
    <col min="3578" max="3578" width="12.08984375" style="107" bestFit="1" customWidth="1"/>
    <col min="3579" max="3579" width="10.54296875" style="107" customWidth="1"/>
    <col min="3580" max="3580" width="11.36328125" style="107" customWidth="1"/>
    <col min="3581" max="3581" width="14.36328125" style="107" bestFit="1" customWidth="1"/>
    <col min="3582" max="3817" width="8.90625" style="107"/>
    <col min="3818" max="3818" width="7.6328125" style="107" customWidth="1"/>
    <col min="3819" max="3819" width="12.54296875" style="107" customWidth="1"/>
    <col min="3820" max="3820" width="9.36328125" style="107" customWidth="1"/>
    <col min="3821" max="3821" width="9.90625" style="107" customWidth="1"/>
    <col min="3822" max="3822" width="10.36328125" style="107" bestFit="1" customWidth="1"/>
    <col min="3823" max="3823" width="11.90625" style="107" customWidth="1"/>
    <col min="3824" max="3824" width="10.54296875" style="107" customWidth="1"/>
    <col min="3825" max="3825" width="13.36328125" style="107" customWidth="1"/>
    <col min="3826" max="3827" width="10.54296875" style="107" customWidth="1"/>
    <col min="3828" max="3828" width="10.6328125" style="107" customWidth="1"/>
    <col min="3829" max="3829" width="12.08984375" style="107" customWidth="1"/>
    <col min="3830" max="3833" width="10.54296875" style="107" customWidth="1"/>
    <col min="3834" max="3834" width="12.08984375" style="107" bestFit="1" customWidth="1"/>
    <col min="3835" max="3835" width="10.54296875" style="107" customWidth="1"/>
    <col min="3836" max="3836" width="11.36328125" style="107" customWidth="1"/>
    <col min="3837" max="3837" width="14.36328125" style="107" bestFit="1" customWidth="1"/>
    <col min="3838" max="4073" width="8.90625" style="107"/>
    <col min="4074" max="4074" width="7.6328125" style="107" customWidth="1"/>
    <col min="4075" max="4075" width="12.54296875" style="107" customWidth="1"/>
    <col min="4076" max="4076" width="9.36328125" style="107" customWidth="1"/>
    <col min="4077" max="4077" width="9.90625" style="107" customWidth="1"/>
    <col min="4078" max="4078" width="10.36328125" style="107" bestFit="1" customWidth="1"/>
    <col min="4079" max="4079" width="11.90625" style="107" customWidth="1"/>
    <col min="4080" max="4080" width="10.54296875" style="107" customWidth="1"/>
    <col min="4081" max="4081" width="13.36328125" style="107" customWidth="1"/>
    <col min="4082" max="4083" width="10.54296875" style="107" customWidth="1"/>
    <col min="4084" max="4084" width="10.6328125" style="107" customWidth="1"/>
    <col min="4085" max="4085" width="12.08984375" style="107" customWidth="1"/>
    <col min="4086" max="4089" width="10.54296875" style="107" customWidth="1"/>
    <col min="4090" max="4090" width="12.08984375" style="107" bestFit="1" customWidth="1"/>
    <col min="4091" max="4091" width="10.54296875" style="107" customWidth="1"/>
    <col min="4092" max="4092" width="11.36328125" style="107" customWidth="1"/>
    <col min="4093" max="4093" width="14.36328125" style="107" bestFit="1" customWidth="1"/>
    <col min="4094" max="4329" width="8.90625" style="107"/>
    <col min="4330" max="4330" width="7.6328125" style="107" customWidth="1"/>
    <col min="4331" max="4331" width="12.54296875" style="107" customWidth="1"/>
    <col min="4332" max="4332" width="9.36328125" style="107" customWidth="1"/>
    <col min="4333" max="4333" width="9.90625" style="107" customWidth="1"/>
    <col min="4334" max="4334" width="10.36328125" style="107" bestFit="1" customWidth="1"/>
    <col min="4335" max="4335" width="11.90625" style="107" customWidth="1"/>
    <col min="4336" max="4336" width="10.54296875" style="107" customWidth="1"/>
    <col min="4337" max="4337" width="13.36328125" style="107" customWidth="1"/>
    <col min="4338" max="4339" width="10.54296875" style="107" customWidth="1"/>
    <col min="4340" max="4340" width="10.6328125" style="107" customWidth="1"/>
    <col min="4341" max="4341" width="12.08984375" style="107" customWidth="1"/>
    <col min="4342" max="4345" width="10.54296875" style="107" customWidth="1"/>
    <col min="4346" max="4346" width="12.08984375" style="107" bestFit="1" customWidth="1"/>
    <col min="4347" max="4347" width="10.54296875" style="107" customWidth="1"/>
    <col min="4348" max="4348" width="11.36328125" style="107" customWidth="1"/>
    <col min="4349" max="4349" width="14.36328125" style="107" bestFit="1" customWidth="1"/>
    <col min="4350" max="4585" width="8.90625" style="107"/>
    <col min="4586" max="4586" width="7.6328125" style="107" customWidth="1"/>
    <col min="4587" max="4587" width="12.54296875" style="107" customWidth="1"/>
    <col min="4588" max="4588" width="9.36328125" style="107" customWidth="1"/>
    <col min="4589" max="4589" width="9.90625" style="107" customWidth="1"/>
    <col min="4590" max="4590" width="10.36328125" style="107" bestFit="1" customWidth="1"/>
    <col min="4591" max="4591" width="11.90625" style="107" customWidth="1"/>
    <col min="4592" max="4592" width="10.54296875" style="107" customWidth="1"/>
    <col min="4593" max="4593" width="13.36328125" style="107" customWidth="1"/>
    <col min="4594" max="4595" width="10.54296875" style="107" customWidth="1"/>
    <col min="4596" max="4596" width="10.6328125" style="107" customWidth="1"/>
    <col min="4597" max="4597" width="12.08984375" style="107" customWidth="1"/>
    <col min="4598" max="4601" width="10.54296875" style="107" customWidth="1"/>
    <col min="4602" max="4602" width="12.08984375" style="107" bestFit="1" customWidth="1"/>
    <col min="4603" max="4603" width="10.54296875" style="107" customWidth="1"/>
    <col min="4604" max="4604" width="11.36328125" style="107" customWidth="1"/>
    <col min="4605" max="4605" width="14.36328125" style="107" bestFit="1" customWidth="1"/>
    <col min="4606" max="4841" width="8.90625" style="107"/>
    <col min="4842" max="4842" width="7.6328125" style="107" customWidth="1"/>
    <col min="4843" max="4843" width="12.54296875" style="107" customWidth="1"/>
    <col min="4844" max="4844" width="9.36328125" style="107" customWidth="1"/>
    <col min="4845" max="4845" width="9.90625" style="107" customWidth="1"/>
    <col min="4846" max="4846" width="10.36328125" style="107" bestFit="1" customWidth="1"/>
    <col min="4847" max="4847" width="11.90625" style="107" customWidth="1"/>
    <col min="4848" max="4848" width="10.54296875" style="107" customWidth="1"/>
    <col min="4849" max="4849" width="13.36328125" style="107" customWidth="1"/>
    <col min="4850" max="4851" width="10.54296875" style="107" customWidth="1"/>
    <col min="4852" max="4852" width="10.6328125" style="107" customWidth="1"/>
    <col min="4853" max="4853" width="12.08984375" style="107" customWidth="1"/>
    <col min="4854" max="4857" width="10.54296875" style="107" customWidth="1"/>
    <col min="4858" max="4858" width="12.08984375" style="107" bestFit="1" customWidth="1"/>
    <col min="4859" max="4859" width="10.54296875" style="107" customWidth="1"/>
    <col min="4860" max="4860" width="11.36328125" style="107" customWidth="1"/>
    <col min="4861" max="4861" width="14.36328125" style="107" bestFit="1" customWidth="1"/>
    <col min="4862" max="5097" width="8.90625" style="107"/>
    <col min="5098" max="5098" width="7.6328125" style="107" customWidth="1"/>
    <col min="5099" max="5099" width="12.54296875" style="107" customWidth="1"/>
    <col min="5100" max="5100" width="9.36328125" style="107" customWidth="1"/>
    <col min="5101" max="5101" width="9.90625" style="107" customWidth="1"/>
    <col min="5102" max="5102" width="10.36328125" style="107" bestFit="1" customWidth="1"/>
    <col min="5103" max="5103" width="11.90625" style="107" customWidth="1"/>
    <col min="5104" max="5104" width="10.54296875" style="107" customWidth="1"/>
    <col min="5105" max="5105" width="13.36328125" style="107" customWidth="1"/>
    <col min="5106" max="5107" width="10.54296875" style="107" customWidth="1"/>
    <col min="5108" max="5108" width="10.6328125" style="107" customWidth="1"/>
    <col min="5109" max="5109" width="12.08984375" style="107" customWidth="1"/>
    <col min="5110" max="5113" width="10.54296875" style="107" customWidth="1"/>
    <col min="5114" max="5114" width="12.08984375" style="107" bestFit="1" customWidth="1"/>
    <col min="5115" max="5115" width="10.54296875" style="107" customWidth="1"/>
    <col min="5116" max="5116" width="11.36328125" style="107" customWidth="1"/>
    <col min="5117" max="5117" width="14.36328125" style="107" bestFit="1" customWidth="1"/>
    <col min="5118" max="5353" width="8.90625" style="107"/>
    <col min="5354" max="5354" width="7.6328125" style="107" customWidth="1"/>
    <col min="5355" max="5355" width="12.54296875" style="107" customWidth="1"/>
    <col min="5356" max="5356" width="9.36328125" style="107" customWidth="1"/>
    <col min="5357" max="5357" width="9.90625" style="107" customWidth="1"/>
    <col min="5358" max="5358" width="10.36328125" style="107" bestFit="1" customWidth="1"/>
    <col min="5359" max="5359" width="11.90625" style="107" customWidth="1"/>
    <col min="5360" max="5360" width="10.54296875" style="107" customWidth="1"/>
    <col min="5361" max="5361" width="13.36328125" style="107" customWidth="1"/>
    <col min="5362" max="5363" width="10.54296875" style="107" customWidth="1"/>
    <col min="5364" max="5364" width="10.6328125" style="107" customWidth="1"/>
    <col min="5365" max="5365" width="12.08984375" style="107" customWidth="1"/>
    <col min="5366" max="5369" width="10.54296875" style="107" customWidth="1"/>
    <col min="5370" max="5370" width="12.08984375" style="107" bestFit="1" customWidth="1"/>
    <col min="5371" max="5371" width="10.54296875" style="107" customWidth="1"/>
    <col min="5372" max="5372" width="11.36328125" style="107" customWidth="1"/>
    <col min="5373" max="5373" width="14.36328125" style="107" bestFit="1" customWidth="1"/>
    <col min="5374" max="5609" width="8.90625" style="107"/>
    <col min="5610" max="5610" width="7.6328125" style="107" customWidth="1"/>
    <col min="5611" max="5611" width="12.54296875" style="107" customWidth="1"/>
    <col min="5612" max="5612" width="9.36328125" style="107" customWidth="1"/>
    <col min="5613" max="5613" width="9.90625" style="107" customWidth="1"/>
    <col min="5614" max="5614" width="10.36328125" style="107" bestFit="1" customWidth="1"/>
    <col min="5615" max="5615" width="11.90625" style="107" customWidth="1"/>
    <col min="5616" max="5616" width="10.54296875" style="107" customWidth="1"/>
    <col min="5617" max="5617" width="13.36328125" style="107" customWidth="1"/>
    <col min="5618" max="5619" width="10.54296875" style="107" customWidth="1"/>
    <col min="5620" max="5620" width="10.6328125" style="107" customWidth="1"/>
    <col min="5621" max="5621" width="12.08984375" style="107" customWidth="1"/>
    <col min="5622" max="5625" width="10.54296875" style="107" customWidth="1"/>
    <col min="5626" max="5626" width="12.08984375" style="107" bestFit="1" customWidth="1"/>
    <col min="5627" max="5627" width="10.54296875" style="107" customWidth="1"/>
    <col min="5628" max="5628" width="11.36328125" style="107" customWidth="1"/>
    <col min="5629" max="5629" width="14.36328125" style="107" bestFit="1" customWidth="1"/>
    <col min="5630" max="5865" width="8.90625" style="107"/>
    <col min="5866" max="5866" width="7.6328125" style="107" customWidth="1"/>
    <col min="5867" max="5867" width="12.54296875" style="107" customWidth="1"/>
    <col min="5868" max="5868" width="9.36328125" style="107" customWidth="1"/>
    <col min="5869" max="5869" width="9.90625" style="107" customWidth="1"/>
    <col min="5870" max="5870" width="10.36328125" style="107" bestFit="1" customWidth="1"/>
    <col min="5871" max="5871" width="11.90625" style="107" customWidth="1"/>
    <col min="5872" max="5872" width="10.54296875" style="107" customWidth="1"/>
    <col min="5873" max="5873" width="13.36328125" style="107" customWidth="1"/>
    <col min="5874" max="5875" width="10.54296875" style="107" customWidth="1"/>
    <col min="5876" max="5876" width="10.6328125" style="107" customWidth="1"/>
    <col min="5877" max="5877" width="12.08984375" style="107" customWidth="1"/>
    <col min="5878" max="5881" width="10.54296875" style="107" customWidth="1"/>
    <col min="5882" max="5882" width="12.08984375" style="107" bestFit="1" customWidth="1"/>
    <col min="5883" max="5883" width="10.54296875" style="107" customWidth="1"/>
    <col min="5884" max="5884" width="11.36328125" style="107" customWidth="1"/>
    <col min="5885" max="5885" width="14.36328125" style="107" bestFit="1" customWidth="1"/>
    <col min="5886" max="6121" width="8.90625" style="107"/>
    <col min="6122" max="6122" width="7.6328125" style="107" customWidth="1"/>
    <col min="6123" max="6123" width="12.54296875" style="107" customWidth="1"/>
    <col min="6124" max="6124" width="9.36328125" style="107" customWidth="1"/>
    <col min="6125" max="6125" width="9.90625" style="107" customWidth="1"/>
    <col min="6126" max="6126" width="10.36328125" style="107" bestFit="1" customWidth="1"/>
    <col min="6127" max="6127" width="11.90625" style="107" customWidth="1"/>
    <col min="6128" max="6128" width="10.54296875" style="107" customWidth="1"/>
    <col min="6129" max="6129" width="13.36328125" style="107" customWidth="1"/>
    <col min="6130" max="6131" width="10.54296875" style="107" customWidth="1"/>
    <col min="6132" max="6132" width="10.6328125" style="107" customWidth="1"/>
    <col min="6133" max="6133" width="12.08984375" style="107" customWidth="1"/>
    <col min="6134" max="6137" width="10.54296875" style="107" customWidth="1"/>
    <col min="6138" max="6138" width="12.08984375" style="107" bestFit="1" customWidth="1"/>
    <col min="6139" max="6139" width="10.54296875" style="107" customWidth="1"/>
    <col min="6140" max="6140" width="11.36328125" style="107" customWidth="1"/>
    <col min="6141" max="6141" width="14.36328125" style="107" bestFit="1" customWidth="1"/>
    <col min="6142" max="6377" width="8.90625" style="107"/>
    <col min="6378" max="6378" width="7.6328125" style="107" customWidth="1"/>
    <col min="6379" max="6379" width="12.54296875" style="107" customWidth="1"/>
    <col min="6380" max="6380" width="9.36328125" style="107" customWidth="1"/>
    <col min="6381" max="6381" width="9.90625" style="107" customWidth="1"/>
    <col min="6382" max="6382" width="10.36328125" style="107" bestFit="1" customWidth="1"/>
    <col min="6383" max="6383" width="11.90625" style="107" customWidth="1"/>
    <col min="6384" max="6384" width="10.54296875" style="107" customWidth="1"/>
    <col min="6385" max="6385" width="13.36328125" style="107" customWidth="1"/>
    <col min="6386" max="6387" width="10.54296875" style="107" customWidth="1"/>
    <col min="6388" max="6388" width="10.6328125" style="107" customWidth="1"/>
    <col min="6389" max="6389" width="12.08984375" style="107" customWidth="1"/>
    <col min="6390" max="6393" width="10.54296875" style="107" customWidth="1"/>
    <col min="6394" max="6394" width="12.08984375" style="107" bestFit="1" customWidth="1"/>
    <col min="6395" max="6395" width="10.54296875" style="107" customWidth="1"/>
    <col min="6396" max="6396" width="11.36328125" style="107" customWidth="1"/>
    <col min="6397" max="6397" width="14.36328125" style="107" bestFit="1" customWidth="1"/>
    <col min="6398" max="6633" width="8.90625" style="107"/>
    <col min="6634" max="6634" width="7.6328125" style="107" customWidth="1"/>
    <col min="6635" max="6635" width="12.54296875" style="107" customWidth="1"/>
    <col min="6636" max="6636" width="9.36328125" style="107" customWidth="1"/>
    <col min="6637" max="6637" width="9.90625" style="107" customWidth="1"/>
    <col min="6638" max="6638" width="10.36328125" style="107" bestFit="1" customWidth="1"/>
    <col min="6639" max="6639" width="11.90625" style="107" customWidth="1"/>
    <col min="6640" max="6640" width="10.54296875" style="107" customWidth="1"/>
    <col min="6641" max="6641" width="13.36328125" style="107" customWidth="1"/>
    <col min="6642" max="6643" width="10.54296875" style="107" customWidth="1"/>
    <col min="6644" max="6644" width="10.6328125" style="107" customWidth="1"/>
    <col min="6645" max="6645" width="12.08984375" style="107" customWidth="1"/>
    <col min="6646" max="6649" width="10.54296875" style="107" customWidth="1"/>
    <col min="6650" max="6650" width="12.08984375" style="107" bestFit="1" customWidth="1"/>
    <col min="6651" max="6651" width="10.54296875" style="107" customWidth="1"/>
    <col min="6652" max="6652" width="11.36328125" style="107" customWidth="1"/>
    <col min="6653" max="6653" width="14.36328125" style="107" bestFit="1" customWidth="1"/>
    <col min="6654" max="6889" width="8.90625" style="107"/>
    <col min="6890" max="6890" width="7.6328125" style="107" customWidth="1"/>
    <col min="6891" max="6891" width="12.54296875" style="107" customWidth="1"/>
    <col min="6892" max="6892" width="9.36328125" style="107" customWidth="1"/>
    <col min="6893" max="6893" width="9.90625" style="107" customWidth="1"/>
    <col min="6894" max="6894" width="10.36328125" style="107" bestFit="1" customWidth="1"/>
    <col min="6895" max="6895" width="11.90625" style="107" customWidth="1"/>
    <col min="6896" max="6896" width="10.54296875" style="107" customWidth="1"/>
    <col min="6897" max="6897" width="13.36328125" style="107" customWidth="1"/>
    <col min="6898" max="6899" width="10.54296875" style="107" customWidth="1"/>
    <col min="6900" max="6900" width="10.6328125" style="107" customWidth="1"/>
    <col min="6901" max="6901" width="12.08984375" style="107" customWidth="1"/>
    <col min="6902" max="6905" width="10.54296875" style="107" customWidth="1"/>
    <col min="6906" max="6906" width="12.08984375" style="107" bestFit="1" customWidth="1"/>
    <col min="6907" max="6907" width="10.54296875" style="107" customWidth="1"/>
    <col min="6908" max="6908" width="11.36328125" style="107" customWidth="1"/>
    <col min="6909" max="6909" width="14.36328125" style="107" bestFit="1" customWidth="1"/>
    <col min="6910" max="7145" width="8.90625" style="107"/>
    <col min="7146" max="7146" width="7.6328125" style="107" customWidth="1"/>
    <col min="7147" max="7147" width="12.54296875" style="107" customWidth="1"/>
    <col min="7148" max="7148" width="9.36328125" style="107" customWidth="1"/>
    <col min="7149" max="7149" width="9.90625" style="107" customWidth="1"/>
    <col min="7150" max="7150" width="10.36328125" style="107" bestFit="1" customWidth="1"/>
    <col min="7151" max="7151" width="11.90625" style="107" customWidth="1"/>
    <col min="7152" max="7152" width="10.54296875" style="107" customWidth="1"/>
    <col min="7153" max="7153" width="13.36328125" style="107" customWidth="1"/>
    <col min="7154" max="7155" width="10.54296875" style="107" customWidth="1"/>
    <col min="7156" max="7156" width="10.6328125" style="107" customWidth="1"/>
    <col min="7157" max="7157" width="12.08984375" style="107" customWidth="1"/>
    <col min="7158" max="7161" width="10.54296875" style="107" customWidth="1"/>
    <col min="7162" max="7162" width="12.08984375" style="107" bestFit="1" customWidth="1"/>
    <col min="7163" max="7163" width="10.54296875" style="107" customWidth="1"/>
    <col min="7164" max="7164" width="11.36328125" style="107" customWidth="1"/>
    <col min="7165" max="7165" width="14.36328125" style="107" bestFit="1" customWidth="1"/>
    <col min="7166" max="7401" width="8.90625" style="107"/>
    <col min="7402" max="7402" width="7.6328125" style="107" customWidth="1"/>
    <col min="7403" max="7403" width="12.54296875" style="107" customWidth="1"/>
    <col min="7404" max="7404" width="9.36328125" style="107" customWidth="1"/>
    <col min="7405" max="7405" width="9.90625" style="107" customWidth="1"/>
    <col min="7406" max="7406" width="10.36328125" style="107" bestFit="1" customWidth="1"/>
    <col min="7407" max="7407" width="11.90625" style="107" customWidth="1"/>
    <col min="7408" max="7408" width="10.54296875" style="107" customWidth="1"/>
    <col min="7409" max="7409" width="13.36328125" style="107" customWidth="1"/>
    <col min="7410" max="7411" width="10.54296875" style="107" customWidth="1"/>
    <col min="7412" max="7412" width="10.6328125" style="107" customWidth="1"/>
    <col min="7413" max="7413" width="12.08984375" style="107" customWidth="1"/>
    <col min="7414" max="7417" width="10.54296875" style="107" customWidth="1"/>
    <col min="7418" max="7418" width="12.08984375" style="107" bestFit="1" customWidth="1"/>
    <col min="7419" max="7419" width="10.54296875" style="107" customWidth="1"/>
    <col min="7420" max="7420" width="11.36328125" style="107" customWidth="1"/>
    <col min="7421" max="7421" width="14.36328125" style="107" bestFit="1" customWidth="1"/>
    <col min="7422" max="7657" width="8.90625" style="107"/>
    <col min="7658" max="7658" width="7.6328125" style="107" customWidth="1"/>
    <col min="7659" max="7659" width="12.54296875" style="107" customWidth="1"/>
    <col min="7660" max="7660" width="9.36328125" style="107" customWidth="1"/>
    <col min="7661" max="7661" width="9.90625" style="107" customWidth="1"/>
    <col min="7662" max="7662" width="10.36328125" style="107" bestFit="1" customWidth="1"/>
    <col min="7663" max="7663" width="11.90625" style="107" customWidth="1"/>
    <col min="7664" max="7664" width="10.54296875" style="107" customWidth="1"/>
    <col min="7665" max="7665" width="13.36328125" style="107" customWidth="1"/>
    <col min="7666" max="7667" width="10.54296875" style="107" customWidth="1"/>
    <col min="7668" max="7668" width="10.6328125" style="107" customWidth="1"/>
    <col min="7669" max="7669" width="12.08984375" style="107" customWidth="1"/>
    <col min="7670" max="7673" width="10.54296875" style="107" customWidth="1"/>
    <col min="7674" max="7674" width="12.08984375" style="107" bestFit="1" customWidth="1"/>
    <col min="7675" max="7675" width="10.54296875" style="107" customWidth="1"/>
    <col min="7676" max="7676" width="11.36328125" style="107" customWidth="1"/>
    <col min="7677" max="7677" width="14.36328125" style="107" bestFit="1" customWidth="1"/>
    <col min="7678" max="7913" width="8.90625" style="107"/>
    <col min="7914" max="7914" width="7.6328125" style="107" customWidth="1"/>
    <col min="7915" max="7915" width="12.54296875" style="107" customWidth="1"/>
    <col min="7916" max="7916" width="9.36328125" style="107" customWidth="1"/>
    <col min="7917" max="7917" width="9.90625" style="107" customWidth="1"/>
    <col min="7918" max="7918" width="10.36328125" style="107" bestFit="1" customWidth="1"/>
    <col min="7919" max="7919" width="11.90625" style="107" customWidth="1"/>
    <col min="7920" max="7920" width="10.54296875" style="107" customWidth="1"/>
    <col min="7921" max="7921" width="13.36328125" style="107" customWidth="1"/>
    <col min="7922" max="7923" width="10.54296875" style="107" customWidth="1"/>
    <col min="7924" max="7924" width="10.6328125" style="107" customWidth="1"/>
    <col min="7925" max="7925" width="12.08984375" style="107" customWidth="1"/>
    <col min="7926" max="7929" width="10.54296875" style="107" customWidth="1"/>
    <col min="7930" max="7930" width="12.08984375" style="107" bestFit="1" customWidth="1"/>
    <col min="7931" max="7931" width="10.54296875" style="107" customWidth="1"/>
    <col min="7932" max="7932" width="11.36328125" style="107" customWidth="1"/>
    <col min="7933" max="7933" width="14.36328125" style="107" bestFit="1" customWidth="1"/>
    <col min="7934" max="8169" width="8.90625" style="107"/>
    <col min="8170" max="8170" width="7.6328125" style="107" customWidth="1"/>
    <col min="8171" max="8171" width="12.54296875" style="107" customWidth="1"/>
    <col min="8172" max="8172" width="9.36328125" style="107" customWidth="1"/>
    <col min="8173" max="8173" width="9.90625" style="107" customWidth="1"/>
    <col min="8174" max="8174" width="10.36328125" style="107" bestFit="1" customWidth="1"/>
    <col min="8175" max="8175" width="11.90625" style="107" customWidth="1"/>
    <col min="8176" max="8176" width="10.54296875" style="107" customWidth="1"/>
    <col min="8177" max="8177" width="13.36328125" style="107" customWidth="1"/>
    <col min="8178" max="8179" width="10.54296875" style="107" customWidth="1"/>
    <col min="8180" max="8180" width="10.6328125" style="107" customWidth="1"/>
    <col min="8181" max="8181" width="12.08984375" style="107" customWidth="1"/>
    <col min="8182" max="8185" width="10.54296875" style="107" customWidth="1"/>
    <col min="8186" max="8186" width="12.08984375" style="107" bestFit="1" customWidth="1"/>
    <col min="8187" max="8187" width="10.54296875" style="107" customWidth="1"/>
    <col min="8188" max="8188" width="11.36328125" style="107" customWidth="1"/>
    <col min="8189" max="8189" width="14.36328125" style="107" bestFit="1" customWidth="1"/>
    <col min="8190" max="8425" width="8.90625" style="107"/>
    <col min="8426" max="8426" width="7.6328125" style="107" customWidth="1"/>
    <col min="8427" max="8427" width="12.54296875" style="107" customWidth="1"/>
    <col min="8428" max="8428" width="9.36328125" style="107" customWidth="1"/>
    <col min="8429" max="8429" width="9.90625" style="107" customWidth="1"/>
    <col min="8430" max="8430" width="10.36328125" style="107" bestFit="1" customWidth="1"/>
    <col min="8431" max="8431" width="11.90625" style="107" customWidth="1"/>
    <col min="8432" max="8432" width="10.54296875" style="107" customWidth="1"/>
    <col min="8433" max="8433" width="13.36328125" style="107" customWidth="1"/>
    <col min="8434" max="8435" width="10.54296875" style="107" customWidth="1"/>
    <col min="8436" max="8436" width="10.6328125" style="107" customWidth="1"/>
    <col min="8437" max="8437" width="12.08984375" style="107" customWidth="1"/>
    <col min="8438" max="8441" width="10.54296875" style="107" customWidth="1"/>
    <col min="8442" max="8442" width="12.08984375" style="107" bestFit="1" customWidth="1"/>
    <col min="8443" max="8443" width="10.54296875" style="107" customWidth="1"/>
    <col min="8444" max="8444" width="11.36328125" style="107" customWidth="1"/>
    <col min="8445" max="8445" width="14.36328125" style="107" bestFit="1" customWidth="1"/>
    <col min="8446" max="8681" width="8.90625" style="107"/>
    <col min="8682" max="8682" width="7.6328125" style="107" customWidth="1"/>
    <col min="8683" max="8683" width="12.54296875" style="107" customWidth="1"/>
    <col min="8684" max="8684" width="9.36328125" style="107" customWidth="1"/>
    <col min="8685" max="8685" width="9.90625" style="107" customWidth="1"/>
    <col min="8686" max="8686" width="10.36328125" style="107" bestFit="1" customWidth="1"/>
    <col min="8687" max="8687" width="11.90625" style="107" customWidth="1"/>
    <col min="8688" max="8688" width="10.54296875" style="107" customWidth="1"/>
    <col min="8689" max="8689" width="13.36328125" style="107" customWidth="1"/>
    <col min="8690" max="8691" width="10.54296875" style="107" customWidth="1"/>
    <col min="8692" max="8692" width="10.6328125" style="107" customWidth="1"/>
    <col min="8693" max="8693" width="12.08984375" style="107" customWidth="1"/>
    <col min="8694" max="8697" width="10.54296875" style="107" customWidth="1"/>
    <col min="8698" max="8698" width="12.08984375" style="107" bestFit="1" customWidth="1"/>
    <col min="8699" max="8699" width="10.54296875" style="107" customWidth="1"/>
    <col min="8700" max="8700" width="11.36328125" style="107" customWidth="1"/>
    <col min="8701" max="8701" width="14.36328125" style="107" bestFit="1" customWidth="1"/>
    <col min="8702" max="8937" width="8.90625" style="107"/>
    <col min="8938" max="8938" width="7.6328125" style="107" customWidth="1"/>
    <col min="8939" max="8939" width="12.54296875" style="107" customWidth="1"/>
    <col min="8940" max="8940" width="9.36328125" style="107" customWidth="1"/>
    <col min="8941" max="8941" width="9.90625" style="107" customWidth="1"/>
    <col min="8942" max="8942" width="10.36328125" style="107" bestFit="1" customWidth="1"/>
    <col min="8943" max="8943" width="11.90625" style="107" customWidth="1"/>
    <col min="8944" max="8944" width="10.54296875" style="107" customWidth="1"/>
    <col min="8945" max="8945" width="13.36328125" style="107" customWidth="1"/>
    <col min="8946" max="8947" width="10.54296875" style="107" customWidth="1"/>
    <col min="8948" max="8948" width="10.6328125" style="107" customWidth="1"/>
    <col min="8949" max="8949" width="12.08984375" style="107" customWidth="1"/>
    <col min="8950" max="8953" width="10.54296875" style="107" customWidth="1"/>
    <col min="8954" max="8954" width="12.08984375" style="107" bestFit="1" customWidth="1"/>
    <col min="8955" max="8955" width="10.54296875" style="107" customWidth="1"/>
    <col min="8956" max="8956" width="11.36328125" style="107" customWidth="1"/>
    <col min="8957" max="8957" width="14.36328125" style="107" bestFit="1" customWidth="1"/>
    <col min="8958" max="9193" width="8.90625" style="107"/>
    <col min="9194" max="9194" width="7.6328125" style="107" customWidth="1"/>
    <col min="9195" max="9195" width="12.54296875" style="107" customWidth="1"/>
    <col min="9196" max="9196" width="9.36328125" style="107" customWidth="1"/>
    <col min="9197" max="9197" width="9.90625" style="107" customWidth="1"/>
    <col min="9198" max="9198" width="10.36328125" style="107" bestFit="1" customWidth="1"/>
    <col min="9199" max="9199" width="11.90625" style="107" customWidth="1"/>
    <col min="9200" max="9200" width="10.54296875" style="107" customWidth="1"/>
    <col min="9201" max="9201" width="13.36328125" style="107" customWidth="1"/>
    <col min="9202" max="9203" width="10.54296875" style="107" customWidth="1"/>
    <col min="9204" max="9204" width="10.6328125" style="107" customWidth="1"/>
    <col min="9205" max="9205" width="12.08984375" style="107" customWidth="1"/>
    <col min="9206" max="9209" width="10.54296875" style="107" customWidth="1"/>
    <col min="9210" max="9210" width="12.08984375" style="107" bestFit="1" customWidth="1"/>
    <col min="9211" max="9211" width="10.54296875" style="107" customWidth="1"/>
    <col min="9212" max="9212" width="11.36328125" style="107" customWidth="1"/>
    <col min="9213" max="9213" width="14.36328125" style="107" bestFit="1" customWidth="1"/>
    <col min="9214" max="9449" width="8.90625" style="107"/>
    <col min="9450" max="9450" width="7.6328125" style="107" customWidth="1"/>
    <col min="9451" max="9451" width="12.54296875" style="107" customWidth="1"/>
    <col min="9452" max="9452" width="9.36328125" style="107" customWidth="1"/>
    <col min="9453" max="9453" width="9.90625" style="107" customWidth="1"/>
    <col min="9454" max="9454" width="10.36328125" style="107" bestFit="1" customWidth="1"/>
    <col min="9455" max="9455" width="11.90625" style="107" customWidth="1"/>
    <col min="9456" max="9456" width="10.54296875" style="107" customWidth="1"/>
    <col min="9457" max="9457" width="13.36328125" style="107" customWidth="1"/>
    <col min="9458" max="9459" width="10.54296875" style="107" customWidth="1"/>
    <col min="9460" max="9460" width="10.6328125" style="107" customWidth="1"/>
    <col min="9461" max="9461" width="12.08984375" style="107" customWidth="1"/>
    <col min="9462" max="9465" width="10.54296875" style="107" customWidth="1"/>
    <col min="9466" max="9466" width="12.08984375" style="107" bestFit="1" customWidth="1"/>
    <col min="9467" max="9467" width="10.54296875" style="107" customWidth="1"/>
    <col min="9468" max="9468" width="11.36328125" style="107" customWidth="1"/>
    <col min="9469" max="9469" width="14.36328125" style="107" bestFit="1" customWidth="1"/>
    <col min="9470" max="9705" width="8.90625" style="107"/>
    <col min="9706" max="9706" width="7.6328125" style="107" customWidth="1"/>
    <col min="9707" max="9707" width="12.54296875" style="107" customWidth="1"/>
    <col min="9708" max="9708" width="9.36328125" style="107" customWidth="1"/>
    <col min="9709" max="9709" width="9.90625" style="107" customWidth="1"/>
    <col min="9710" max="9710" width="10.36328125" style="107" bestFit="1" customWidth="1"/>
    <col min="9711" max="9711" width="11.90625" style="107" customWidth="1"/>
    <col min="9712" max="9712" width="10.54296875" style="107" customWidth="1"/>
    <col min="9713" max="9713" width="13.36328125" style="107" customWidth="1"/>
    <col min="9714" max="9715" width="10.54296875" style="107" customWidth="1"/>
    <col min="9716" max="9716" width="10.6328125" style="107" customWidth="1"/>
    <col min="9717" max="9717" width="12.08984375" style="107" customWidth="1"/>
    <col min="9718" max="9721" width="10.54296875" style="107" customWidth="1"/>
    <col min="9722" max="9722" width="12.08984375" style="107" bestFit="1" customWidth="1"/>
    <col min="9723" max="9723" width="10.54296875" style="107" customWidth="1"/>
    <col min="9724" max="9724" width="11.36328125" style="107" customWidth="1"/>
    <col min="9725" max="9725" width="14.36328125" style="107" bestFit="1" customWidth="1"/>
    <col min="9726" max="9961" width="8.90625" style="107"/>
    <col min="9962" max="9962" width="7.6328125" style="107" customWidth="1"/>
    <col min="9963" max="9963" width="12.54296875" style="107" customWidth="1"/>
    <col min="9964" max="9964" width="9.36328125" style="107" customWidth="1"/>
    <col min="9965" max="9965" width="9.90625" style="107" customWidth="1"/>
    <col min="9966" max="9966" width="10.36328125" style="107" bestFit="1" customWidth="1"/>
    <col min="9967" max="9967" width="11.90625" style="107" customWidth="1"/>
    <col min="9968" max="9968" width="10.54296875" style="107" customWidth="1"/>
    <col min="9969" max="9969" width="13.36328125" style="107" customWidth="1"/>
    <col min="9970" max="9971" width="10.54296875" style="107" customWidth="1"/>
    <col min="9972" max="9972" width="10.6328125" style="107" customWidth="1"/>
    <col min="9973" max="9973" width="12.08984375" style="107" customWidth="1"/>
    <col min="9974" max="9977" width="10.54296875" style="107" customWidth="1"/>
    <col min="9978" max="9978" width="12.08984375" style="107" bestFit="1" customWidth="1"/>
    <col min="9979" max="9979" width="10.54296875" style="107" customWidth="1"/>
    <col min="9980" max="9980" width="11.36328125" style="107" customWidth="1"/>
    <col min="9981" max="9981" width="14.36328125" style="107" bestFit="1" customWidth="1"/>
    <col min="9982" max="10217" width="8.90625" style="107"/>
    <col min="10218" max="10218" width="7.6328125" style="107" customWidth="1"/>
    <col min="10219" max="10219" width="12.54296875" style="107" customWidth="1"/>
    <col min="10220" max="10220" width="9.36328125" style="107" customWidth="1"/>
    <col min="10221" max="10221" width="9.90625" style="107" customWidth="1"/>
    <col min="10222" max="10222" width="10.36328125" style="107" bestFit="1" customWidth="1"/>
    <col min="10223" max="10223" width="11.90625" style="107" customWidth="1"/>
    <col min="10224" max="10224" width="10.54296875" style="107" customWidth="1"/>
    <col min="10225" max="10225" width="13.36328125" style="107" customWidth="1"/>
    <col min="10226" max="10227" width="10.54296875" style="107" customWidth="1"/>
    <col min="10228" max="10228" width="10.6328125" style="107" customWidth="1"/>
    <col min="10229" max="10229" width="12.08984375" style="107" customWidth="1"/>
    <col min="10230" max="10233" width="10.54296875" style="107" customWidth="1"/>
    <col min="10234" max="10234" width="12.08984375" style="107" bestFit="1" customWidth="1"/>
    <col min="10235" max="10235" width="10.54296875" style="107" customWidth="1"/>
    <col min="10236" max="10236" width="11.36328125" style="107" customWidth="1"/>
    <col min="10237" max="10237" width="14.36328125" style="107" bestFit="1" customWidth="1"/>
    <col min="10238" max="10473" width="8.90625" style="107"/>
    <col min="10474" max="10474" width="7.6328125" style="107" customWidth="1"/>
    <col min="10475" max="10475" width="12.54296875" style="107" customWidth="1"/>
    <col min="10476" max="10476" width="9.36328125" style="107" customWidth="1"/>
    <col min="10477" max="10477" width="9.90625" style="107" customWidth="1"/>
    <col min="10478" max="10478" width="10.36328125" style="107" bestFit="1" customWidth="1"/>
    <col min="10479" max="10479" width="11.90625" style="107" customWidth="1"/>
    <col min="10480" max="10480" width="10.54296875" style="107" customWidth="1"/>
    <col min="10481" max="10481" width="13.36328125" style="107" customWidth="1"/>
    <col min="10482" max="10483" width="10.54296875" style="107" customWidth="1"/>
    <col min="10484" max="10484" width="10.6328125" style="107" customWidth="1"/>
    <col min="10485" max="10485" width="12.08984375" style="107" customWidth="1"/>
    <col min="10486" max="10489" width="10.54296875" style="107" customWidth="1"/>
    <col min="10490" max="10490" width="12.08984375" style="107" bestFit="1" customWidth="1"/>
    <col min="10491" max="10491" width="10.54296875" style="107" customWidth="1"/>
    <col min="10492" max="10492" width="11.36328125" style="107" customWidth="1"/>
    <col min="10493" max="10493" width="14.36328125" style="107" bestFit="1" customWidth="1"/>
    <col min="10494" max="10729" width="8.90625" style="107"/>
    <col min="10730" max="10730" width="7.6328125" style="107" customWidth="1"/>
    <col min="10731" max="10731" width="12.54296875" style="107" customWidth="1"/>
    <col min="10732" max="10732" width="9.36328125" style="107" customWidth="1"/>
    <col min="10733" max="10733" width="9.90625" style="107" customWidth="1"/>
    <col min="10734" max="10734" width="10.36328125" style="107" bestFit="1" customWidth="1"/>
    <col min="10735" max="10735" width="11.90625" style="107" customWidth="1"/>
    <col min="10736" max="10736" width="10.54296875" style="107" customWidth="1"/>
    <col min="10737" max="10737" width="13.36328125" style="107" customWidth="1"/>
    <col min="10738" max="10739" width="10.54296875" style="107" customWidth="1"/>
    <col min="10740" max="10740" width="10.6328125" style="107" customWidth="1"/>
    <col min="10741" max="10741" width="12.08984375" style="107" customWidth="1"/>
    <col min="10742" max="10745" width="10.54296875" style="107" customWidth="1"/>
    <col min="10746" max="10746" width="12.08984375" style="107" bestFit="1" customWidth="1"/>
    <col min="10747" max="10747" width="10.54296875" style="107" customWidth="1"/>
    <col min="10748" max="10748" width="11.36328125" style="107" customWidth="1"/>
    <col min="10749" max="10749" width="14.36328125" style="107" bestFit="1" customWidth="1"/>
    <col min="10750" max="10985" width="8.90625" style="107"/>
    <col min="10986" max="10986" width="7.6328125" style="107" customWidth="1"/>
    <col min="10987" max="10987" width="12.54296875" style="107" customWidth="1"/>
    <col min="10988" max="10988" width="9.36328125" style="107" customWidth="1"/>
    <col min="10989" max="10989" width="9.90625" style="107" customWidth="1"/>
    <col min="10990" max="10990" width="10.36328125" style="107" bestFit="1" customWidth="1"/>
    <col min="10991" max="10991" width="11.90625" style="107" customWidth="1"/>
    <col min="10992" max="10992" width="10.54296875" style="107" customWidth="1"/>
    <col min="10993" max="10993" width="13.36328125" style="107" customWidth="1"/>
    <col min="10994" max="10995" width="10.54296875" style="107" customWidth="1"/>
    <col min="10996" max="10996" width="10.6328125" style="107" customWidth="1"/>
    <col min="10997" max="10997" width="12.08984375" style="107" customWidth="1"/>
    <col min="10998" max="11001" width="10.54296875" style="107" customWidth="1"/>
    <col min="11002" max="11002" width="12.08984375" style="107" bestFit="1" customWidth="1"/>
    <col min="11003" max="11003" width="10.54296875" style="107" customWidth="1"/>
    <col min="11004" max="11004" width="11.36328125" style="107" customWidth="1"/>
    <col min="11005" max="11005" width="14.36328125" style="107" bestFit="1" customWidth="1"/>
    <col min="11006" max="11241" width="8.90625" style="107"/>
    <col min="11242" max="11242" width="7.6328125" style="107" customWidth="1"/>
    <col min="11243" max="11243" width="12.54296875" style="107" customWidth="1"/>
    <col min="11244" max="11244" width="9.36328125" style="107" customWidth="1"/>
    <col min="11245" max="11245" width="9.90625" style="107" customWidth="1"/>
    <col min="11246" max="11246" width="10.36328125" style="107" bestFit="1" customWidth="1"/>
    <col min="11247" max="11247" width="11.90625" style="107" customWidth="1"/>
    <col min="11248" max="11248" width="10.54296875" style="107" customWidth="1"/>
    <col min="11249" max="11249" width="13.36328125" style="107" customWidth="1"/>
    <col min="11250" max="11251" width="10.54296875" style="107" customWidth="1"/>
    <col min="11252" max="11252" width="10.6328125" style="107" customWidth="1"/>
    <col min="11253" max="11253" width="12.08984375" style="107" customWidth="1"/>
    <col min="11254" max="11257" width="10.54296875" style="107" customWidth="1"/>
    <col min="11258" max="11258" width="12.08984375" style="107" bestFit="1" customWidth="1"/>
    <col min="11259" max="11259" width="10.54296875" style="107" customWidth="1"/>
    <col min="11260" max="11260" width="11.36328125" style="107" customWidth="1"/>
    <col min="11261" max="11261" width="14.36328125" style="107" bestFit="1" customWidth="1"/>
    <col min="11262" max="11497" width="8.90625" style="107"/>
    <col min="11498" max="11498" width="7.6328125" style="107" customWidth="1"/>
    <col min="11499" max="11499" width="12.54296875" style="107" customWidth="1"/>
    <col min="11500" max="11500" width="9.36328125" style="107" customWidth="1"/>
    <col min="11501" max="11501" width="9.90625" style="107" customWidth="1"/>
    <col min="11502" max="11502" width="10.36328125" style="107" bestFit="1" customWidth="1"/>
    <col min="11503" max="11503" width="11.90625" style="107" customWidth="1"/>
    <col min="11504" max="11504" width="10.54296875" style="107" customWidth="1"/>
    <col min="11505" max="11505" width="13.36328125" style="107" customWidth="1"/>
    <col min="11506" max="11507" width="10.54296875" style="107" customWidth="1"/>
    <col min="11508" max="11508" width="10.6328125" style="107" customWidth="1"/>
    <col min="11509" max="11509" width="12.08984375" style="107" customWidth="1"/>
    <col min="11510" max="11513" width="10.54296875" style="107" customWidth="1"/>
    <col min="11514" max="11514" width="12.08984375" style="107" bestFit="1" customWidth="1"/>
    <col min="11515" max="11515" width="10.54296875" style="107" customWidth="1"/>
    <col min="11516" max="11516" width="11.36328125" style="107" customWidth="1"/>
    <col min="11517" max="11517" width="14.36328125" style="107" bestFit="1" customWidth="1"/>
    <col min="11518" max="11753" width="8.90625" style="107"/>
    <col min="11754" max="11754" width="7.6328125" style="107" customWidth="1"/>
    <col min="11755" max="11755" width="12.54296875" style="107" customWidth="1"/>
    <col min="11756" max="11756" width="9.36328125" style="107" customWidth="1"/>
    <col min="11757" max="11757" width="9.90625" style="107" customWidth="1"/>
    <col min="11758" max="11758" width="10.36328125" style="107" bestFit="1" customWidth="1"/>
    <col min="11759" max="11759" width="11.90625" style="107" customWidth="1"/>
    <col min="11760" max="11760" width="10.54296875" style="107" customWidth="1"/>
    <col min="11761" max="11761" width="13.36328125" style="107" customWidth="1"/>
    <col min="11762" max="11763" width="10.54296875" style="107" customWidth="1"/>
    <col min="11764" max="11764" width="10.6328125" style="107" customWidth="1"/>
    <col min="11765" max="11765" width="12.08984375" style="107" customWidth="1"/>
    <col min="11766" max="11769" width="10.54296875" style="107" customWidth="1"/>
    <col min="11770" max="11770" width="12.08984375" style="107" bestFit="1" customWidth="1"/>
    <col min="11771" max="11771" width="10.54296875" style="107" customWidth="1"/>
    <col min="11772" max="11772" width="11.36328125" style="107" customWidth="1"/>
    <col min="11773" max="11773" width="14.36328125" style="107" bestFit="1" customWidth="1"/>
    <col min="11774" max="12009" width="8.90625" style="107"/>
    <col min="12010" max="12010" width="7.6328125" style="107" customWidth="1"/>
    <col min="12011" max="12011" width="12.54296875" style="107" customWidth="1"/>
    <col min="12012" max="12012" width="9.36328125" style="107" customWidth="1"/>
    <col min="12013" max="12013" width="9.90625" style="107" customWidth="1"/>
    <col min="12014" max="12014" width="10.36328125" style="107" bestFit="1" customWidth="1"/>
    <col min="12015" max="12015" width="11.90625" style="107" customWidth="1"/>
    <col min="12016" max="12016" width="10.54296875" style="107" customWidth="1"/>
    <col min="12017" max="12017" width="13.36328125" style="107" customWidth="1"/>
    <col min="12018" max="12019" width="10.54296875" style="107" customWidth="1"/>
    <col min="12020" max="12020" width="10.6328125" style="107" customWidth="1"/>
    <col min="12021" max="12021" width="12.08984375" style="107" customWidth="1"/>
    <col min="12022" max="12025" width="10.54296875" style="107" customWidth="1"/>
    <col min="12026" max="12026" width="12.08984375" style="107" bestFit="1" customWidth="1"/>
    <col min="12027" max="12027" width="10.54296875" style="107" customWidth="1"/>
    <col min="12028" max="12028" width="11.36328125" style="107" customWidth="1"/>
    <col min="12029" max="12029" width="14.36328125" style="107" bestFit="1" customWidth="1"/>
    <col min="12030" max="12265" width="8.90625" style="107"/>
    <col min="12266" max="12266" width="7.6328125" style="107" customWidth="1"/>
    <col min="12267" max="12267" width="12.54296875" style="107" customWidth="1"/>
    <col min="12268" max="12268" width="9.36328125" style="107" customWidth="1"/>
    <col min="12269" max="12269" width="9.90625" style="107" customWidth="1"/>
    <col min="12270" max="12270" width="10.36328125" style="107" bestFit="1" customWidth="1"/>
    <col min="12271" max="12271" width="11.90625" style="107" customWidth="1"/>
    <col min="12272" max="12272" width="10.54296875" style="107" customWidth="1"/>
    <col min="12273" max="12273" width="13.36328125" style="107" customWidth="1"/>
    <col min="12274" max="12275" width="10.54296875" style="107" customWidth="1"/>
    <col min="12276" max="12276" width="10.6328125" style="107" customWidth="1"/>
    <col min="12277" max="12277" width="12.08984375" style="107" customWidth="1"/>
    <col min="12278" max="12281" width="10.54296875" style="107" customWidth="1"/>
    <col min="12282" max="12282" width="12.08984375" style="107" bestFit="1" customWidth="1"/>
    <col min="12283" max="12283" width="10.54296875" style="107" customWidth="1"/>
    <col min="12284" max="12284" width="11.36328125" style="107" customWidth="1"/>
    <col min="12285" max="12285" width="14.36328125" style="107" bestFit="1" customWidth="1"/>
    <col min="12286" max="12521" width="8.90625" style="107"/>
    <col min="12522" max="12522" width="7.6328125" style="107" customWidth="1"/>
    <col min="12523" max="12523" width="12.54296875" style="107" customWidth="1"/>
    <col min="12524" max="12524" width="9.36328125" style="107" customWidth="1"/>
    <col min="12525" max="12525" width="9.90625" style="107" customWidth="1"/>
    <col min="12526" max="12526" width="10.36328125" style="107" bestFit="1" customWidth="1"/>
    <col min="12527" max="12527" width="11.90625" style="107" customWidth="1"/>
    <col min="12528" max="12528" width="10.54296875" style="107" customWidth="1"/>
    <col min="12529" max="12529" width="13.36328125" style="107" customWidth="1"/>
    <col min="12530" max="12531" width="10.54296875" style="107" customWidth="1"/>
    <col min="12532" max="12532" width="10.6328125" style="107" customWidth="1"/>
    <col min="12533" max="12533" width="12.08984375" style="107" customWidth="1"/>
    <col min="12534" max="12537" width="10.54296875" style="107" customWidth="1"/>
    <col min="12538" max="12538" width="12.08984375" style="107" bestFit="1" customWidth="1"/>
    <col min="12539" max="12539" width="10.54296875" style="107" customWidth="1"/>
    <col min="12540" max="12540" width="11.36328125" style="107" customWidth="1"/>
    <col min="12541" max="12541" width="14.36328125" style="107" bestFit="1" customWidth="1"/>
    <col min="12542" max="12777" width="8.90625" style="107"/>
    <col min="12778" max="12778" width="7.6328125" style="107" customWidth="1"/>
    <col min="12779" max="12779" width="12.54296875" style="107" customWidth="1"/>
    <col min="12780" max="12780" width="9.36328125" style="107" customWidth="1"/>
    <col min="12781" max="12781" width="9.90625" style="107" customWidth="1"/>
    <col min="12782" max="12782" width="10.36328125" style="107" bestFit="1" customWidth="1"/>
    <col min="12783" max="12783" width="11.90625" style="107" customWidth="1"/>
    <col min="12784" max="12784" width="10.54296875" style="107" customWidth="1"/>
    <col min="12785" max="12785" width="13.36328125" style="107" customWidth="1"/>
    <col min="12786" max="12787" width="10.54296875" style="107" customWidth="1"/>
    <col min="12788" max="12788" width="10.6328125" style="107" customWidth="1"/>
    <col min="12789" max="12789" width="12.08984375" style="107" customWidth="1"/>
    <col min="12790" max="12793" width="10.54296875" style="107" customWidth="1"/>
    <col min="12794" max="12794" width="12.08984375" style="107" bestFit="1" customWidth="1"/>
    <col min="12795" max="12795" width="10.54296875" style="107" customWidth="1"/>
    <col min="12796" max="12796" width="11.36328125" style="107" customWidth="1"/>
    <col min="12797" max="12797" width="14.36328125" style="107" bestFit="1" customWidth="1"/>
    <col min="12798" max="13033" width="8.90625" style="107"/>
    <col min="13034" max="13034" width="7.6328125" style="107" customWidth="1"/>
    <col min="13035" max="13035" width="12.54296875" style="107" customWidth="1"/>
    <col min="13036" max="13036" width="9.36328125" style="107" customWidth="1"/>
    <col min="13037" max="13037" width="9.90625" style="107" customWidth="1"/>
    <col min="13038" max="13038" width="10.36328125" style="107" bestFit="1" customWidth="1"/>
    <col min="13039" max="13039" width="11.90625" style="107" customWidth="1"/>
    <col min="13040" max="13040" width="10.54296875" style="107" customWidth="1"/>
    <col min="13041" max="13041" width="13.36328125" style="107" customWidth="1"/>
    <col min="13042" max="13043" width="10.54296875" style="107" customWidth="1"/>
    <col min="13044" max="13044" width="10.6328125" style="107" customWidth="1"/>
    <col min="13045" max="13045" width="12.08984375" style="107" customWidth="1"/>
    <col min="13046" max="13049" width="10.54296875" style="107" customWidth="1"/>
    <col min="13050" max="13050" width="12.08984375" style="107" bestFit="1" customWidth="1"/>
    <col min="13051" max="13051" width="10.54296875" style="107" customWidth="1"/>
    <col min="13052" max="13052" width="11.36328125" style="107" customWidth="1"/>
    <col min="13053" max="13053" width="14.36328125" style="107" bestFit="1" customWidth="1"/>
    <col min="13054" max="13289" width="8.90625" style="107"/>
    <col min="13290" max="13290" width="7.6328125" style="107" customWidth="1"/>
    <col min="13291" max="13291" width="12.54296875" style="107" customWidth="1"/>
    <col min="13292" max="13292" width="9.36328125" style="107" customWidth="1"/>
    <col min="13293" max="13293" width="9.90625" style="107" customWidth="1"/>
    <col min="13294" max="13294" width="10.36328125" style="107" bestFit="1" customWidth="1"/>
    <col min="13295" max="13295" width="11.90625" style="107" customWidth="1"/>
    <col min="13296" max="13296" width="10.54296875" style="107" customWidth="1"/>
    <col min="13297" max="13297" width="13.36328125" style="107" customWidth="1"/>
    <col min="13298" max="13299" width="10.54296875" style="107" customWidth="1"/>
    <col min="13300" max="13300" width="10.6328125" style="107" customWidth="1"/>
    <col min="13301" max="13301" width="12.08984375" style="107" customWidth="1"/>
    <col min="13302" max="13305" width="10.54296875" style="107" customWidth="1"/>
    <col min="13306" max="13306" width="12.08984375" style="107" bestFit="1" customWidth="1"/>
    <col min="13307" max="13307" width="10.54296875" style="107" customWidth="1"/>
    <col min="13308" max="13308" width="11.36328125" style="107" customWidth="1"/>
    <col min="13309" max="13309" width="14.36328125" style="107" bestFit="1" customWidth="1"/>
    <col min="13310" max="13545" width="8.90625" style="107"/>
    <col min="13546" max="13546" width="7.6328125" style="107" customWidth="1"/>
    <col min="13547" max="13547" width="12.54296875" style="107" customWidth="1"/>
    <col min="13548" max="13548" width="9.36328125" style="107" customWidth="1"/>
    <col min="13549" max="13549" width="9.90625" style="107" customWidth="1"/>
    <col min="13550" max="13550" width="10.36328125" style="107" bestFit="1" customWidth="1"/>
    <col min="13551" max="13551" width="11.90625" style="107" customWidth="1"/>
    <col min="13552" max="13552" width="10.54296875" style="107" customWidth="1"/>
    <col min="13553" max="13553" width="13.36328125" style="107" customWidth="1"/>
    <col min="13554" max="13555" width="10.54296875" style="107" customWidth="1"/>
    <col min="13556" max="13556" width="10.6328125" style="107" customWidth="1"/>
    <col min="13557" max="13557" width="12.08984375" style="107" customWidth="1"/>
    <col min="13558" max="13561" width="10.54296875" style="107" customWidth="1"/>
    <col min="13562" max="13562" width="12.08984375" style="107" bestFit="1" customWidth="1"/>
    <col min="13563" max="13563" width="10.54296875" style="107" customWidth="1"/>
    <col min="13564" max="13564" width="11.36328125" style="107" customWidth="1"/>
    <col min="13565" max="13565" width="14.36328125" style="107" bestFit="1" customWidth="1"/>
    <col min="13566" max="13801" width="8.90625" style="107"/>
    <col min="13802" max="13802" width="7.6328125" style="107" customWidth="1"/>
    <col min="13803" max="13803" width="12.54296875" style="107" customWidth="1"/>
    <col min="13804" max="13804" width="9.36328125" style="107" customWidth="1"/>
    <col min="13805" max="13805" width="9.90625" style="107" customWidth="1"/>
    <col min="13806" max="13806" width="10.36328125" style="107" bestFit="1" customWidth="1"/>
    <col min="13807" max="13807" width="11.90625" style="107" customWidth="1"/>
    <col min="13808" max="13808" width="10.54296875" style="107" customWidth="1"/>
    <col min="13809" max="13809" width="13.36328125" style="107" customWidth="1"/>
    <col min="13810" max="13811" width="10.54296875" style="107" customWidth="1"/>
    <col min="13812" max="13812" width="10.6328125" style="107" customWidth="1"/>
    <col min="13813" max="13813" width="12.08984375" style="107" customWidth="1"/>
    <col min="13814" max="13817" width="10.54296875" style="107" customWidth="1"/>
    <col min="13818" max="13818" width="12.08984375" style="107" bestFit="1" customWidth="1"/>
    <col min="13819" max="13819" width="10.54296875" style="107" customWidth="1"/>
    <col min="13820" max="13820" width="11.36328125" style="107" customWidth="1"/>
    <col min="13821" max="13821" width="14.36328125" style="107" bestFit="1" customWidth="1"/>
    <col min="13822" max="14057" width="8.90625" style="107"/>
    <col min="14058" max="14058" width="7.6328125" style="107" customWidth="1"/>
    <col min="14059" max="14059" width="12.54296875" style="107" customWidth="1"/>
    <col min="14060" max="14060" width="9.36328125" style="107" customWidth="1"/>
    <col min="14061" max="14061" width="9.90625" style="107" customWidth="1"/>
    <col min="14062" max="14062" width="10.36328125" style="107" bestFit="1" customWidth="1"/>
    <col min="14063" max="14063" width="11.90625" style="107" customWidth="1"/>
    <col min="14064" max="14064" width="10.54296875" style="107" customWidth="1"/>
    <col min="14065" max="14065" width="13.36328125" style="107" customWidth="1"/>
    <col min="14066" max="14067" width="10.54296875" style="107" customWidth="1"/>
    <col min="14068" max="14068" width="10.6328125" style="107" customWidth="1"/>
    <col min="14069" max="14069" width="12.08984375" style="107" customWidth="1"/>
    <col min="14070" max="14073" width="10.54296875" style="107" customWidth="1"/>
    <col min="14074" max="14074" width="12.08984375" style="107" bestFit="1" customWidth="1"/>
    <col min="14075" max="14075" width="10.54296875" style="107" customWidth="1"/>
    <col min="14076" max="14076" width="11.36328125" style="107" customWidth="1"/>
    <col min="14077" max="14077" width="14.36328125" style="107" bestFit="1" customWidth="1"/>
    <col min="14078" max="14313" width="8.90625" style="107"/>
    <col min="14314" max="14314" width="7.6328125" style="107" customWidth="1"/>
    <col min="14315" max="14315" width="12.54296875" style="107" customWidth="1"/>
    <col min="14316" max="14316" width="9.36328125" style="107" customWidth="1"/>
    <col min="14317" max="14317" width="9.90625" style="107" customWidth="1"/>
    <col min="14318" max="14318" width="10.36328125" style="107" bestFit="1" customWidth="1"/>
    <col min="14319" max="14319" width="11.90625" style="107" customWidth="1"/>
    <col min="14320" max="14320" width="10.54296875" style="107" customWidth="1"/>
    <col min="14321" max="14321" width="13.36328125" style="107" customWidth="1"/>
    <col min="14322" max="14323" width="10.54296875" style="107" customWidth="1"/>
    <col min="14324" max="14324" width="10.6328125" style="107" customWidth="1"/>
    <col min="14325" max="14325" width="12.08984375" style="107" customWidth="1"/>
    <col min="14326" max="14329" width="10.54296875" style="107" customWidth="1"/>
    <col min="14330" max="14330" width="12.08984375" style="107" bestFit="1" customWidth="1"/>
    <col min="14331" max="14331" width="10.54296875" style="107" customWidth="1"/>
    <col min="14332" max="14332" width="11.36328125" style="107" customWidth="1"/>
    <col min="14333" max="14333" width="14.36328125" style="107" bestFit="1" customWidth="1"/>
    <col min="14334" max="14569" width="8.90625" style="107"/>
    <col min="14570" max="14570" width="7.6328125" style="107" customWidth="1"/>
    <col min="14571" max="14571" width="12.54296875" style="107" customWidth="1"/>
    <col min="14572" max="14572" width="9.36328125" style="107" customWidth="1"/>
    <col min="14573" max="14573" width="9.90625" style="107" customWidth="1"/>
    <col min="14574" max="14574" width="10.36328125" style="107" bestFit="1" customWidth="1"/>
    <col min="14575" max="14575" width="11.90625" style="107" customWidth="1"/>
    <col min="14576" max="14576" width="10.54296875" style="107" customWidth="1"/>
    <col min="14577" max="14577" width="13.36328125" style="107" customWidth="1"/>
    <col min="14578" max="14579" width="10.54296875" style="107" customWidth="1"/>
    <col min="14580" max="14580" width="10.6328125" style="107" customWidth="1"/>
    <col min="14581" max="14581" width="12.08984375" style="107" customWidth="1"/>
    <col min="14582" max="14585" width="10.54296875" style="107" customWidth="1"/>
    <col min="14586" max="14586" width="12.08984375" style="107" bestFit="1" customWidth="1"/>
    <col min="14587" max="14587" width="10.54296875" style="107" customWidth="1"/>
    <col min="14588" max="14588" width="11.36328125" style="107" customWidth="1"/>
    <col min="14589" max="14589" width="14.36328125" style="107" bestFit="1" customWidth="1"/>
    <col min="14590" max="14825" width="8.90625" style="107"/>
    <col min="14826" max="14826" width="7.6328125" style="107" customWidth="1"/>
    <col min="14827" max="14827" width="12.54296875" style="107" customWidth="1"/>
    <col min="14828" max="14828" width="9.36328125" style="107" customWidth="1"/>
    <col min="14829" max="14829" width="9.90625" style="107" customWidth="1"/>
    <col min="14830" max="14830" width="10.36328125" style="107" bestFit="1" customWidth="1"/>
    <col min="14831" max="14831" width="11.90625" style="107" customWidth="1"/>
    <col min="14832" max="14832" width="10.54296875" style="107" customWidth="1"/>
    <col min="14833" max="14833" width="13.36328125" style="107" customWidth="1"/>
    <col min="14834" max="14835" width="10.54296875" style="107" customWidth="1"/>
    <col min="14836" max="14836" width="10.6328125" style="107" customWidth="1"/>
    <col min="14837" max="14837" width="12.08984375" style="107" customWidth="1"/>
    <col min="14838" max="14841" width="10.54296875" style="107" customWidth="1"/>
    <col min="14842" max="14842" width="12.08984375" style="107" bestFit="1" customWidth="1"/>
    <col min="14843" max="14843" width="10.54296875" style="107" customWidth="1"/>
    <col min="14844" max="14844" width="11.36328125" style="107" customWidth="1"/>
    <col min="14845" max="14845" width="14.36328125" style="107" bestFit="1" customWidth="1"/>
    <col min="14846" max="15081" width="8.90625" style="107"/>
    <col min="15082" max="15082" width="7.6328125" style="107" customWidth="1"/>
    <col min="15083" max="15083" width="12.54296875" style="107" customWidth="1"/>
    <col min="15084" max="15084" width="9.36328125" style="107" customWidth="1"/>
    <col min="15085" max="15085" width="9.90625" style="107" customWidth="1"/>
    <col min="15086" max="15086" width="10.36328125" style="107" bestFit="1" customWidth="1"/>
    <col min="15087" max="15087" width="11.90625" style="107" customWidth="1"/>
    <col min="15088" max="15088" width="10.54296875" style="107" customWidth="1"/>
    <col min="15089" max="15089" width="13.36328125" style="107" customWidth="1"/>
    <col min="15090" max="15091" width="10.54296875" style="107" customWidth="1"/>
    <col min="15092" max="15092" width="10.6328125" style="107" customWidth="1"/>
    <col min="15093" max="15093" width="12.08984375" style="107" customWidth="1"/>
    <col min="15094" max="15097" width="10.54296875" style="107" customWidth="1"/>
    <col min="15098" max="15098" width="12.08984375" style="107" bestFit="1" customWidth="1"/>
    <col min="15099" max="15099" width="10.54296875" style="107" customWidth="1"/>
    <col min="15100" max="15100" width="11.36328125" style="107" customWidth="1"/>
    <col min="15101" max="15101" width="14.36328125" style="107" bestFit="1" customWidth="1"/>
    <col min="15102" max="15337" width="8.90625" style="107"/>
    <col min="15338" max="15338" width="7.6328125" style="107" customWidth="1"/>
    <col min="15339" max="15339" width="12.54296875" style="107" customWidth="1"/>
    <col min="15340" max="15340" width="9.36328125" style="107" customWidth="1"/>
    <col min="15341" max="15341" width="9.90625" style="107" customWidth="1"/>
    <col min="15342" max="15342" width="10.36328125" style="107" bestFit="1" customWidth="1"/>
    <col min="15343" max="15343" width="11.90625" style="107" customWidth="1"/>
    <col min="15344" max="15344" width="10.54296875" style="107" customWidth="1"/>
    <col min="15345" max="15345" width="13.36328125" style="107" customWidth="1"/>
    <col min="15346" max="15347" width="10.54296875" style="107" customWidth="1"/>
    <col min="15348" max="15348" width="10.6328125" style="107" customWidth="1"/>
    <col min="15349" max="15349" width="12.08984375" style="107" customWidth="1"/>
    <col min="15350" max="15353" width="10.54296875" style="107" customWidth="1"/>
    <col min="15354" max="15354" width="12.08984375" style="107" bestFit="1" customWidth="1"/>
    <col min="15355" max="15355" width="10.54296875" style="107" customWidth="1"/>
    <col min="15356" max="15356" width="11.36328125" style="107" customWidth="1"/>
    <col min="15357" max="15357" width="14.36328125" style="107" bestFit="1" customWidth="1"/>
    <col min="15358" max="15593" width="8.90625" style="107"/>
    <col min="15594" max="15594" width="7.6328125" style="107" customWidth="1"/>
    <col min="15595" max="15595" width="12.54296875" style="107" customWidth="1"/>
    <col min="15596" max="15596" width="9.36328125" style="107" customWidth="1"/>
    <col min="15597" max="15597" width="9.90625" style="107" customWidth="1"/>
    <col min="15598" max="15598" width="10.36328125" style="107" bestFit="1" customWidth="1"/>
    <col min="15599" max="15599" width="11.90625" style="107" customWidth="1"/>
    <col min="15600" max="15600" width="10.54296875" style="107" customWidth="1"/>
    <col min="15601" max="15601" width="13.36328125" style="107" customWidth="1"/>
    <col min="15602" max="15603" width="10.54296875" style="107" customWidth="1"/>
    <col min="15604" max="15604" width="10.6328125" style="107" customWidth="1"/>
    <col min="15605" max="15605" width="12.08984375" style="107" customWidth="1"/>
    <col min="15606" max="15609" width="10.54296875" style="107" customWidth="1"/>
    <col min="15610" max="15610" width="12.08984375" style="107" bestFit="1" customWidth="1"/>
    <col min="15611" max="15611" width="10.54296875" style="107" customWidth="1"/>
    <col min="15612" max="15612" width="11.36328125" style="107" customWidth="1"/>
    <col min="15613" max="15613" width="14.36328125" style="107" bestFit="1" customWidth="1"/>
    <col min="15614" max="15849" width="8.90625" style="107"/>
    <col min="15850" max="15850" width="7.6328125" style="107" customWidth="1"/>
    <col min="15851" max="15851" width="12.54296875" style="107" customWidth="1"/>
    <col min="15852" max="15852" width="9.36328125" style="107" customWidth="1"/>
    <col min="15853" max="15853" width="9.90625" style="107" customWidth="1"/>
    <col min="15854" max="15854" width="10.36328125" style="107" bestFit="1" customWidth="1"/>
    <col min="15855" max="15855" width="11.90625" style="107" customWidth="1"/>
    <col min="15856" max="15856" width="10.54296875" style="107" customWidth="1"/>
    <col min="15857" max="15857" width="13.36328125" style="107" customWidth="1"/>
    <col min="15858" max="15859" width="10.54296875" style="107" customWidth="1"/>
    <col min="15860" max="15860" width="10.6328125" style="107" customWidth="1"/>
    <col min="15861" max="15861" width="12.08984375" style="107" customWidth="1"/>
    <col min="15862" max="15865" width="10.54296875" style="107" customWidth="1"/>
    <col min="15866" max="15866" width="12.08984375" style="107" bestFit="1" customWidth="1"/>
    <col min="15867" max="15867" width="10.54296875" style="107" customWidth="1"/>
    <col min="15868" max="15868" width="11.36328125" style="107" customWidth="1"/>
    <col min="15869" max="15869" width="14.36328125" style="107" bestFit="1" customWidth="1"/>
    <col min="15870" max="16105" width="8.90625" style="107"/>
    <col min="16106" max="16106" width="7.6328125" style="107" customWidth="1"/>
    <col min="16107" max="16107" width="12.54296875" style="107" customWidth="1"/>
    <col min="16108" max="16108" width="9.36328125" style="107" customWidth="1"/>
    <col min="16109" max="16109" width="9.90625" style="107" customWidth="1"/>
    <col min="16110" max="16110" width="10.36328125" style="107" bestFit="1" customWidth="1"/>
    <col min="16111" max="16111" width="11.90625" style="107" customWidth="1"/>
    <col min="16112" max="16112" width="10.54296875" style="107" customWidth="1"/>
    <col min="16113" max="16113" width="13.36328125" style="107" customWidth="1"/>
    <col min="16114" max="16115" width="10.54296875" style="107" customWidth="1"/>
    <col min="16116" max="16116" width="10.6328125" style="107" customWidth="1"/>
    <col min="16117" max="16117" width="12.08984375" style="107" customWidth="1"/>
    <col min="16118" max="16121" width="10.54296875" style="107" customWidth="1"/>
    <col min="16122" max="16122" width="12.08984375" style="107" bestFit="1" customWidth="1"/>
    <col min="16123" max="16123" width="10.54296875" style="107" customWidth="1"/>
    <col min="16124" max="16124" width="11.36328125" style="107" customWidth="1"/>
    <col min="16125" max="16125" width="14.36328125" style="107" bestFit="1" customWidth="1"/>
    <col min="16126" max="16363" width="8.90625" style="107"/>
    <col min="16364" max="16384" width="9.08984375" style="107" customWidth="1"/>
  </cols>
  <sheetData>
    <row r="1" spans="1:10" s="106" customFormat="1" ht="50.4" customHeight="1" thickBot="1">
      <c r="A1" s="181"/>
      <c r="B1" s="181"/>
      <c r="C1" s="181"/>
      <c r="D1" s="181"/>
      <c r="E1" s="181"/>
      <c r="F1" s="181"/>
      <c r="G1" s="181"/>
    </row>
    <row r="2" spans="1:10" ht="33.65" customHeight="1" thickBot="1">
      <c r="A2" s="77" t="s">
        <v>9</v>
      </c>
      <c r="B2" s="47" t="s">
        <v>10</v>
      </c>
      <c r="C2" s="78" t="s">
        <v>87</v>
      </c>
      <c r="D2" s="79" t="s">
        <v>14</v>
      </c>
      <c r="E2" s="79" t="s">
        <v>8</v>
      </c>
      <c r="F2" s="79" t="s">
        <v>11</v>
      </c>
      <c r="G2" s="79" t="s">
        <v>13</v>
      </c>
      <c r="H2" s="106"/>
      <c r="I2" s="106"/>
      <c r="J2" s="106"/>
    </row>
    <row r="3" spans="1:10" ht="30" customHeight="1">
      <c r="A3" s="108">
        <v>1</v>
      </c>
      <c r="B3" s="109">
        <v>46359</v>
      </c>
      <c r="C3" s="92">
        <v>259801</v>
      </c>
      <c r="D3" s="92">
        <v>5460455</v>
      </c>
      <c r="E3" s="110">
        <v>53.4</v>
      </c>
      <c r="F3" s="111" t="s">
        <v>88</v>
      </c>
      <c r="G3" s="112" t="s">
        <v>89</v>
      </c>
      <c r="H3" s="106" t="s">
        <v>137</v>
      </c>
      <c r="I3" s="106"/>
      <c r="J3" s="106"/>
    </row>
    <row r="4" spans="1:10" ht="30" customHeight="1">
      <c r="A4" s="113">
        <v>2</v>
      </c>
      <c r="B4" s="48">
        <v>46359</v>
      </c>
      <c r="C4" s="94">
        <v>259802</v>
      </c>
      <c r="D4" s="94">
        <v>5461824</v>
      </c>
      <c r="E4" s="114">
        <v>53.5</v>
      </c>
      <c r="F4" s="115" t="s">
        <v>88</v>
      </c>
      <c r="G4" s="116" t="s">
        <v>89</v>
      </c>
      <c r="H4" s="106" t="s">
        <v>137</v>
      </c>
      <c r="I4" s="106"/>
      <c r="J4" s="106"/>
    </row>
    <row r="5" spans="1:10" ht="30" customHeight="1">
      <c r="A5" s="113">
        <v>3</v>
      </c>
      <c r="B5" s="48">
        <v>46359</v>
      </c>
      <c r="C5" s="94">
        <v>259803</v>
      </c>
      <c r="D5" s="94">
        <v>5461938</v>
      </c>
      <c r="E5" s="114">
        <v>53.4</v>
      </c>
      <c r="F5" s="115" t="s">
        <v>88</v>
      </c>
      <c r="G5" s="116" t="s">
        <v>89</v>
      </c>
      <c r="H5" s="106" t="s">
        <v>137</v>
      </c>
      <c r="I5" s="106"/>
      <c r="J5" s="106"/>
    </row>
    <row r="6" spans="1:10" ht="30" customHeight="1">
      <c r="A6" s="113">
        <v>4</v>
      </c>
      <c r="B6" s="48">
        <v>46359</v>
      </c>
      <c r="C6" s="94">
        <v>259804</v>
      </c>
      <c r="D6" s="94">
        <v>5461144</v>
      </c>
      <c r="E6" s="114">
        <v>51.6</v>
      </c>
      <c r="F6" s="115" t="s">
        <v>88</v>
      </c>
      <c r="G6" s="116" t="s">
        <v>89</v>
      </c>
      <c r="H6" s="106" t="s">
        <v>137</v>
      </c>
      <c r="I6" s="106"/>
      <c r="J6" s="106"/>
    </row>
    <row r="7" spans="1:10" ht="30" customHeight="1">
      <c r="A7" s="113">
        <v>5</v>
      </c>
      <c r="B7" s="48">
        <v>46359</v>
      </c>
      <c r="C7" s="94">
        <v>259805</v>
      </c>
      <c r="D7" s="94">
        <v>5460868</v>
      </c>
      <c r="E7" s="114">
        <v>53.4</v>
      </c>
      <c r="F7" s="115" t="s">
        <v>88</v>
      </c>
      <c r="G7" s="116" t="s">
        <v>89</v>
      </c>
      <c r="H7" s="106" t="s">
        <v>137</v>
      </c>
      <c r="I7" s="106"/>
      <c r="J7" s="106"/>
    </row>
    <row r="8" spans="1:10" ht="30" customHeight="1">
      <c r="A8" s="113">
        <v>6</v>
      </c>
      <c r="B8" s="48">
        <v>46359</v>
      </c>
      <c r="C8" s="94">
        <v>259806</v>
      </c>
      <c r="D8" s="94">
        <v>5460641</v>
      </c>
      <c r="E8" s="114">
        <v>51.6</v>
      </c>
      <c r="F8" s="115" t="s">
        <v>88</v>
      </c>
      <c r="G8" s="116" t="s">
        <v>89</v>
      </c>
      <c r="H8" s="106" t="s">
        <v>137</v>
      </c>
      <c r="I8" s="106"/>
      <c r="J8" s="106"/>
    </row>
    <row r="9" spans="1:10" ht="30" customHeight="1">
      <c r="A9" s="113">
        <v>7</v>
      </c>
      <c r="B9" s="48">
        <v>46359</v>
      </c>
      <c r="C9" s="94">
        <v>427001</v>
      </c>
      <c r="D9" s="94">
        <v>5461105</v>
      </c>
      <c r="E9" s="114">
        <v>50.9</v>
      </c>
      <c r="F9" s="115" t="s">
        <v>88</v>
      </c>
      <c r="G9" s="116" t="s">
        <v>89</v>
      </c>
      <c r="H9" s="106" t="s">
        <v>137</v>
      </c>
      <c r="I9" s="106"/>
      <c r="J9" s="106"/>
    </row>
    <row r="10" spans="1:10" ht="30" customHeight="1">
      <c r="A10" s="113">
        <v>8</v>
      </c>
      <c r="B10" s="48">
        <v>46359</v>
      </c>
      <c r="C10" s="94">
        <v>427002</v>
      </c>
      <c r="D10" s="94">
        <v>5460462</v>
      </c>
      <c r="E10" s="114">
        <v>53.4</v>
      </c>
      <c r="F10" s="115" t="s">
        <v>88</v>
      </c>
      <c r="G10" s="116" t="s">
        <v>89</v>
      </c>
      <c r="H10" s="106" t="s">
        <v>137</v>
      </c>
      <c r="I10" s="106"/>
      <c r="J10" s="106"/>
    </row>
    <row r="11" spans="1:10" ht="30" customHeight="1">
      <c r="A11" s="113">
        <v>9</v>
      </c>
      <c r="B11" s="48">
        <v>46359</v>
      </c>
      <c r="C11" s="94">
        <v>427003</v>
      </c>
      <c r="D11" s="94">
        <v>5460277</v>
      </c>
      <c r="E11" s="114">
        <v>52.8</v>
      </c>
      <c r="F11" s="115" t="s">
        <v>88</v>
      </c>
      <c r="G11" s="116" t="s">
        <v>89</v>
      </c>
      <c r="H11" s="106" t="s">
        <v>137</v>
      </c>
      <c r="I11" s="106"/>
      <c r="J11" s="106"/>
    </row>
    <row r="12" spans="1:10" ht="30" customHeight="1">
      <c r="A12" s="113">
        <v>10</v>
      </c>
      <c r="B12" s="48">
        <v>46359</v>
      </c>
      <c r="C12" s="94">
        <v>427005</v>
      </c>
      <c r="D12" s="94">
        <v>5460601</v>
      </c>
      <c r="E12" s="114">
        <v>52.9</v>
      </c>
      <c r="F12" s="115" t="s">
        <v>88</v>
      </c>
      <c r="G12" s="116" t="s">
        <v>89</v>
      </c>
      <c r="H12" s="106" t="s">
        <v>137</v>
      </c>
      <c r="I12" s="106"/>
      <c r="J12" s="106"/>
    </row>
    <row r="13" spans="1:10" ht="30" customHeight="1">
      <c r="A13" s="113">
        <v>11</v>
      </c>
      <c r="B13" s="48">
        <v>46359</v>
      </c>
      <c r="C13" s="94">
        <v>427006</v>
      </c>
      <c r="D13" s="94">
        <v>5461817</v>
      </c>
      <c r="E13" s="114">
        <v>52.2</v>
      </c>
      <c r="F13" s="115" t="s">
        <v>88</v>
      </c>
      <c r="G13" s="116" t="s">
        <v>89</v>
      </c>
      <c r="H13" s="106" t="s">
        <v>137</v>
      </c>
      <c r="I13" s="106"/>
      <c r="J13" s="106"/>
    </row>
    <row r="14" spans="1:10" ht="30" customHeight="1">
      <c r="A14" s="113">
        <v>12</v>
      </c>
      <c r="B14" s="48">
        <v>46359</v>
      </c>
      <c r="C14" s="94">
        <v>427008</v>
      </c>
      <c r="D14" s="94">
        <v>5461297</v>
      </c>
      <c r="E14" s="114">
        <v>53.7</v>
      </c>
      <c r="F14" s="115" t="s">
        <v>88</v>
      </c>
      <c r="G14" s="116" t="s">
        <v>89</v>
      </c>
      <c r="H14" s="106" t="s">
        <v>137</v>
      </c>
      <c r="I14" s="106"/>
      <c r="J14" s="106"/>
    </row>
    <row r="15" spans="1:10" ht="30" customHeight="1">
      <c r="A15" s="113">
        <v>13</v>
      </c>
      <c r="B15" s="48">
        <v>46359</v>
      </c>
      <c r="C15" s="94">
        <v>259464</v>
      </c>
      <c r="D15" s="94">
        <v>559979</v>
      </c>
      <c r="E15" s="114">
        <v>49.1</v>
      </c>
      <c r="F15" s="115" t="s">
        <v>88</v>
      </c>
      <c r="G15" s="116" t="s">
        <v>89</v>
      </c>
      <c r="H15" s="106" t="s">
        <v>137</v>
      </c>
      <c r="I15" s="106"/>
      <c r="J15" s="106"/>
    </row>
    <row r="16" spans="1:10" ht="30" customHeight="1">
      <c r="A16" s="113">
        <v>14</v>
      </c>
      <c r="B16" s="48">
        <v>46359</v>
      </c>
      <c r="C16" s="94">
        <v>259463</v>
      </c>
      <c r="D16" s="94">
        <v>559566</v>
      </c>
      <c r="E16" s="114">
        <v>49.6</v>
      </c>
      <c r="F16" s="115" t="s">
        <v>88</v>
      </c>
      <c r="G16" s="116" t="s">
        <v>89</v>
      </c>
      <c r="H16" s="106" t="s">
        <v>137</v>
      </c>
      <c r="I16" s="106"/>
      <c r="J16" s="106"/>
    </row>
    <row r="17" spans="1:10" ht="30" customHeight="1">
      <c r="A17" s="113">
        <v>15</v>
      </c>
      <c r="B17" s="48">
        <v>46359</v>
      </c>
      <c r="C17" s="94">
        <v>259462</v>
      </c>
      <c r="D17" s="94">
        <v>5579872</v>
      </c>
      <c r="E17" s="114">
        <v>49.6</v>
      </c>
      <c r="F17" s="115" t="s">
        <v>88</v>
      </c>
      <c r="G17" s="116" t="s">
        <v>89</v>
      </c>
      <c r="H17" s="106" t="s">
        <v>137</v>
      </c>
      <c r="I17" s="106"/>
      <c r="J17" s="106"/>
    </row>
    <row r="18" spans="1:10" ht="30" customHeight="1">
      <c r="A18" s="113">
        <v>16</v>
      </c>
      <c r="B18" s="48">
        <v>46359</v>
      </c>
      <c r="C18" s="94">
        <v>259461</v>
      </c>
      <c r="D18" s="94">
        <v>5579986</v>
      </c>
      <c r="E18" s="114">
        <v>48.2</v>
      </c>
      <c r="F18" s="115" t="s">
        <v>88</v>
      </c>
      <c r="G18" s="116" t="s">
        <v>89</v>
      </c>
      <c r="H18" s="106" t="s">
        <v>137</v>
      </c>
      <c r="I18" s="106"/>
      <c r="J18" s="106"/>
    </row>
    <row r="19" spans="1:10" ht="30" customHeight="1">
      <c r="A19" s="113">
        <v>17</v>
      </c>
      <c r="B19" s="48">
        <v>46359</v>
      </c>
      <c r="C19" s="94">
        <v>259460</v>
      </c>
      <c r="D19" s="94">
        <v>5570364</v>
      </c>
      <c r="E19" s="114">
        <v>48.8</v>
      </c>
      <c r="F19" s="115" t="s">
        <v>88</v>
      </c>
      <c r="G19" s="116" t="s">
        <v>89</v>
      </c>
      <c r="H19" s="106" t="s">
        <v>137</v>
      </c>
      <c r="I19" s="106"/>
      <c r="J19" s="106"/>
    </row>
    <row r="20" spans="1:10" ht="30" customHeight="1">
      <c r="A20" s="113">
        <v>18</v>
      </c>
      <c r="B20" s="48">
        <v>46359</v>
      </c>
      <c r="C20" s="94">
        <v>259459</v>
      </c>
      <c r="D20" s="94">
        <v>5572319</v>
      </c>
      <c r="E20" s="114">
        <v>46.2</v>
      </c>
      <c r="F20" s="115" t="s">
        <v>88</v>
      </c>
      <c r="G20" s="116" t="s">
        <v>89</v>
      </c>
      <c r="H20" s="106" t="s">
        <v>137</v>
      </c>
      <c r="I20" s="106"/>
      <c r="J20" s="106"/>
    </row>
    <row r="21" spans="1:10" ht="30" customHeight="1">
      <c r="A21" s="113">
        <v>19</v>
      </c>
      <c r="B21" s="48">
        <v>46359</v>
      </c>
      <c r="C21" s="94">
        <v>259458</v>
      </c>
      <c r="D21" s="94">
        <v>5579922</v>
      </c>
      <c r="E21" s="114">
        <v>48.9</v>
      </c>
      <c r="F21" s="115" t="s">
        <v>88</v>
      </c>
      <c r="G21" s="116" t="s">
        <v>89</v>
      </c>
      <c r="H21" s="106" t="s">
        <v>137</v>
      </c>
      <c r="I21" s="106"/>
      <c r="J21" s="106"/>
    </row>
    <row r="22" spans="1:10" ht="30" customHeight="1">
      <c r="A22" s="113">
        <v>20</v>
      </c>
      <c r="B22" s="48">
        <v>46359</v>
      </c>
      <c r="C22" s="94">
        <v>259457</v>
      </c>
      <c r="D22" s="94">
        <v>5572148</v>
      </c>
      <c r="E22" s="114">
        <v>49.6</v>
      </c>
      <c r="F22" s="115" t="s">
        <v>88</v>
      </c>
      <c r="G22" s="116" t="s">
        <v>89</v>
      </c>
      <c r="H22" s="106" t="s">
        <v>137</v>
      </c>
      <c r="I22" s="106"/>
      <c r="J22" s="106"/>
    </row>
    <row r="23" spans="1:10" ht="30" customHeight="1">
      <c r="A23" s="113">
        <v>21</v>
      </c>
      <c r="B23" s="48">
        <v>46359</v>
      </c>
      <c r="C23" s="94">
        <v>259456</v>
      </c>
      <c r="D23" s="94">
        <v>5570923</v>
      </c>
      <c r="E23" s="114">
        <v>51.4</v>
      </c>
      <c r="F23" s="115" t="s">
        <v>88</v>
      </c>
      <c r="G23" s="116" t="s">
        <v>89</v>
      </c>
      <c r="H23" s="106"/>
      <c r="I23" s="106"/>
      <c r="J23" s="106"/>
    </row>
    <row r="24" spans="1:10" ht="30" customHeight="1">
      <c r="A24" s="113">
        <v>22</v>
      </c>
      <c r="B24" s="48">
        <v>46359</v>
      </c>
      <c r="C24" s="94">
        <v>259455</v>
      </c>
      <c r="D24" s="94">
        <v>5570649</v>
      </c>
      <c r="E24" s="114">
        <v>50.2</v>
      </c>
      <c r="F24" s="115" t="s">
        <v>88</v>
      </c>
      <c r="G24" s="116" t="s">
        <v>89</v>
      </c>
      <c r="H24" s="106"/>
      <c r="I24" s="106"/>
      <c r="J24" s="106"/>
    </row>
    <row r="25" spans="1:10" ht="30" customHeight="1">
      <c r="A25" s="113">
        <v>23</v>
      </c>
      <c r="B25" s="48">
        <v>46359</v>
      </c>
      <c r="C25" s="94">
        <v>259454</v>
      </c>
      <c r="D25" s="94">
        <v>5570962</v>
      </c>
      <c r="E25" s="114">
        <v>49.8</v>
      </c>
      <c r="F25" s="115" t="s">
        <v>88</v>
      </c>
      <c r="G25" s="116" t="s">
        <v>89</v>
      </c>
      <c r="H25" s="106"/>
      <c r="I25" s="106"/>
      <c r="J25" s="106"/>
    </row>
    <row r="26" spans="1:10" ht="30" customHeight="1">
      <c r="A26" s="113">
        <v>24</v>
      </c>
      <c r="B26" s="48">
        <v>46359</v>
      </c>
      <c r="C26" s="94">
        <v>259453</v>
      </c>
      <c r="D26" s="94">
        <v>5579502</v>
      </c>
      <c r="E26" s="114">
        <v>49.3</v>
      </c>
      <c r="F26" s="115" t="s">
        <v>88</v>
      </c>
      <c r="G26" s="116" t="s">
        <v>89</v>
      </c>
      <c r="H26" s="106"/>
      <c r="I26" s="106"/>
      <c r="J26" s="106"/>
    </row>
    <row r="27" spans="1:10" ht="30" customHeight="1">
      <c r="A27" s="113">
        <v>25</v>
      </c>
      <c r="B27" s="48">
        <v>46359</v>
      </c>
      <c r="C27" s="94">
        <v>259452</v>
      </c>
      <c r="D27" s="94">
        <v>5571498</v>
      </c>
      <c r="E27" s="114">
        <v>48.7</v>
      </c>
      <c r="F27" s="115" t="s">
        <v>88</v>
      </c>
      <c r="G27" s="116" t="s">
        <v>89</v>
      </c>
      <c r="H27" s="106"/>
      <c r="I27" s="106"/>
      <c r="J27" s="106"/>
    </row>
    <row r="28" spans="1:10" ht="30" customHeight="1">
      <c r="A28" s="113">
        <v>26</v>
      </c>
      <c r="B28" s="48">
        <v>46359</v>
      </c>
      <c r="C28" s="94">
        <v>259451</v>
      </c>
      <c r="D28" s="94">
        <v>5570535</v>
      </c>
      <c r="E28" s="114">
        <v>46</v>
      </c>
      <c r="F28" s="115" t="s">
        <v>88</v>
      </c>
      <c r="G28" s="116" t="s">
        <v>89</v>
      </c>
      <c r="H28" s="106"/>
      <c r="I28" s="106"/>
      <c r="J28" s="106"/>
    </row>
    <row r="29" spans="1:10" ht="30" customHeight="1">
      <c r="A29" s="113">
        <v>27</v>
      </c>
      <c r="B29" s="48">
        <v>46359</v>
      </c>
      <c r="C29" s="94">
        <v>259772</v>
      </c>
      <c r="D29" s="94">
        <v>5446669</v>
      </c>
      <c r="E29" s="114">
        <v>52.3</v>
      </c>
      <c r="F29" s="115" t="s">
        <v>88</v>
      </c>
      <c r="G29" s="116" t="s">
        <v>89</v>
      </c>
      <c r="H29" s="106"/>
      <c r="I29" s="106"/>
      <c r="J29" s="106"/>
    </row>
    <row r="30" spans="1:10" ht="30" customHeight="1">
      <c r="A30" s="113">
        <v>28</v>
      </c>
      <c r="B30" s="48">
        <v>46359</v>
      </c>
      <c r="C30" s="94">
        <v>259769</v>
      </c>
      <c r="D30" s="94">
        <v>5446822</v>
      </c>
      <c r="E30" s="114">
        <v>51</v>
      </c>
      <c r="F30" s="115" t="s">
        <v>88</v>
      </c>
      <c r="G30" s="116" t="s">
        <v>89</v>
      </c>
      <c r="H30" s="106"/>
      <c r="I30" s="106"/>
      <c r="J30" s="106"/>
    </row>
    <row r="31" spans="1:10" ht="30" customHeight="1">
      <c r="A31" s="113">
        <v>29</v>
      </c>
      <c r="B31" s="48">
        <v>46359</v>
      </c>
      <c r="C31" s="94">
        <v>259770</v>
      </c>
      <c r="D31" s="94">
        <v>5446676</v>
      </c>
      <c r="E31" s="114">
        <v>50.1</v>
      </c>
      <c r="F31" s="115" t="s">
        <v>88</v>
      </c>
      <c r="G31" s="116" t="s">
        <v>89</v>
      </c>
      <c r="H31" s="106"/>
      <c r="I31" s="106"/>
      <c r="J31" s="106"/>
    </row>
    <row r="32" spans="1:10" ht="30" customHeight="1">
      <c r="A32" s="113">
        <v>30</v>
      </c>
      <c r="B32" s="48">
        <v>46359</v>
      </c>
      <c r="C32" s="94">
        <v>259771</v>
      </c>
      <c r="D32" s="94">
        <v>5446135</v>
      </c>
      <c r="E32" s="114">
        <v>52.3</v>
      </c>
      <c r="F32" s="115" t="s">
        <v>88</v>
      </c>
      <c r="G32" s="116" t="s">
        <v>89</v>
      </c>
      <c r="H32" s="106"/>
      <c r="I32" s="106"/>
      <c r="J32" s="106"/>
    </row>
    <row r="33" spans="1:10" ht="30" customHeight="1">
      <c r="A33" s="113">
        <v>31</v>
      </c>
      <c r="B33" s="48">
        <v>46359</v>
      </c>
      <c r="C33" s="94">
        <v>259768</v>
      </c>
      <c r="D33" s="94">
        <v>5445962</v>
      </c>
      <c r="E33" s="114">
        <v>52</v>
      </c>
      <c r="F33" s="115" t="s">
        <v>88</v>
      </c>
      <c r="G33" s="116" t="s">
        <v>89</v>
      </c>
      <c r="H33" s="106"/>
      <c r="I33" s="106"/>
      <c r="J33" s="106"/>
    </row>
    <row r="34" spans="1:10" ht="30" customHeight="1">
      <c r="A34" s="113">
        <v>32</v>
      </c>
      <c r="B34" s="48">
        <v>46359</v>
      </c>
      <c r="C34" s="94">
        <v>259767</v>
      </c>
      <c r="D34" s="94">
        <v>5578806</v>
      </c>
      <c r="E34" s="114">
        <v>49</v>
      </c>
      <c r="F34" s="115" t="s">
        <v>88</v>
      </c>
      <c r="G34" s="116" t="s">
        <v>89</v>
      </c>
      <c r="H34" s="106"/>
      <c r="I34" s="106"/>
      <c r="J34" s="106"/>
    </row>
    <row r="35" spans="1:10" ht="30" customHeight="1">
      <c r="A35" s="113">
        <v>33</v>
      </c>
      <c r="B35" s="48">
        <v>46359</v>
      </c>
      <c r="C35" s="94">
        <v>259766</v>
      </c>
      <c r="D35" s="94">
        <v>5446772</v>
      </c>
      <c r="E35" s="114">
        <v>52</v>
      </c>
      <c r="F35" s="115" t="s">
        <v>88</v>
      </c>
      <c r="G35" s="116" t="s">
        <v>89</v>
      </c>
      <c r="H35" s="106"/>
      <c r="I35" s="106"/>
      <c r="J35" s="106"/>
    </row>
    <row r="36" spans="1:10" ht="30" customHeight="1">
      <c r="A36" s="113">
        <v>34</v>
      </c>
      <c r="B36" s="48">
        <v>46359</v>
      </c>
      <c r="C36" s="94">
        <v>259763</v>
      </c>
      <c r="D36" s="94">
        <v>5446719</v>
      </c>
      <c r="E36" s="114">
        <v>50.7</v>
      </c>
      <c r="F36" s="115" t="s">
        <v>88</v>
      </c>
      <c r="G36" s="116" t="s">
        <v>89</v>
      </c>
      <c r="H36" s="106"/>
      <c r="I36" s="106"/>
      <c r="J36" s="106"/>
    </row>
    <row r="37" spans="1:10" ht="30" customHeight="1">
      <c r="A37" s="113">
        <v>35</v>
      </c>
      <c r="B37" s="48">
        <v>46359</v>
      </c>
      <c r="C37" s="94">
        <v>259764</v>
      </c>
      <c r="D37" s="94">
        <v>5445624</v>
      </c>
      <c r="E37" s="114">
        <v>49.4</v>
      </c>
      <c r="F37" s="115" t="s">
        <v>88</v>
      </c>
      <c r="G37" s="116" t="s">
        <v>89</v>
      </c>
      <c r="H37" s="106"/>
      <c r="I37" s="106"/>
      <c r="J37" s="106"/>
    </row>
    <row r="38" spans="1:10" ht="30" customHeight="1">
      <c r="A38" s="113">
        <v>36</v>
      </c>
      <c r="B38" s="48">
        <v>46359</v>
      </c>
      <c r="C38" s="94">
        <v>259765</v>
      </c>
      <c r="D38" s="94">
        <v>5444637</v>
      </c>
      <c r="E38" s="114">
        <v>53.8</v>
      </c>
      <c r="F38" s="115" t="s">
        <v>88</v>
      </c>
      <c r="G38" s="116" t="s">
        <v>89</v>
      </c>
      <c r="H38" s="106"/>
      <c r="I38" s="106"/>
      <c r="J38" s="106"/>
    </row>
    <row r="39" spans="1:10" ht="30" customHeight="1">
      <c r="A39" s="113">
        <v>37</v>
      </c>
      <c r="B39" s="48">
        <v>46359</v>
      </c>
      <c r="C39" s="94">
        <v>259762</v>
      </c>
      <c r="D39" s="94">
        <v>5446936</v>
      </c>
      <c r="E39" s="114">
        <v>52.6</v>
      </c>
      <c r="F39" s="115" t="s">
        <v>88</v>
      </c>
      <c r="G39" s="116" t="s">
        <v>89</v>
      </c>
      <c r="H39" s="106"/>
      <c r="I39" s="106"/>
      <c r="J39" s="106"/>
    </row>
    <row r="40" spans="1:10" ht="30" customHeight="1">
      <c r="A40" s="113">
        <v>38</v>
      </c>
      <c r="B40" s="48">
        <v>46359</v>
      </c>
      <c r="C40" s="94">
        <v>259749</v>
      </c>
      <c r="D40" s="94">
        <v>5445147</v>
      </c>
      <c r="E40" s="114">
        <v>55.3</v>
      </c>
      <c r="F40" s="115" t="s">
        <v>88</v>
      </c>
      <c r="G40" s="116" t="s">
        <v>89</v>
      </c>
      <c r="H40" s="106"/>
      <c r="I40" s="106"/>
      <c r="J40" s="106"/>
    </row>
    <row r="41" spans="1:10" ht="30" customHeight="1">
      <c r="A41" s="113">
        <v>39</v>
      </c>
      <c r="B41" s="48">
        <v>46359</v>
      </c>
      <c r="C41" s="94">
        <v>259748</v>
      </c>
      <c r="D41" s="94">
        <v>5446111</v>
      </c>
      <c r="E41" s="114">
        <v>54.2</v>
      </c>
      <c r="F41" s="115" t="s">
        <v>88</v>
      </c>
      <c r="G41" s="116" t="s">
        <v>89</v>
      </c>
      <c r="H41" s="106"/>
      <c r="I41" s="106"/>
      <c r="J41" s="106"/>
    </row>
    <row r="42" spans="1:10" ht="30" customHeight="1">
      <c r="A42" s="113">
        <v>40</v>
      </c>
      <c r="B42" s="48">
        <v>46359</v>
      </c>
      <c r="C42" s="94">
        <v>259745</v>
      </c>
      <c r="D42" s="94">
        <v>5446531</v>
      </c>
      <c r="E42" s="114">
        <v>54.1</v>
      </c>
      <c r="F42" s="115" t="s">
        <v>88</v>
      </c>
      <c r="G42" s="116" t="s">
        <v>89</v>
      </c>
      <c r="H42" s="106"/>
      <c r="I42" s="106"/>
      <c r="J42" s="106"/>
    </row>
    <row r="43" spans="1:10" ht="30" customHeight="1">
      <c r="A43" s="113">
        <v>41</v>
      </c>
      <c r="B43" s="48">
        <v>46359</v>
      </c>
      <c r="C43" s="94">
        <v>259746</v>
      </c>
      <c r="D43" s="94">
        <v>5445396</v>
      </c>
      <c r="E43" s="114">
        <v>54</v>
      </c>
      <c r="F43" s="115" t="s">
        <v>88</v>
      </c>
      <c r="G43" s="116" t="s">
        <v>89</v>
      </c>
      <c r="H43" s="106"/>
      <c r="I43" s="106"/>
      <c r="J43" s="106"/>
    </row>
    <row r="44" spans="1:10" ht="30" customHeight="1">
      <c r="A44" s="113">
        <v>42</v>
      </c>
      <c r="B44" s="48">
        <v>46359</v>
      </c>
      <c r="C44" s="94">
        <v>259747</v>
      </c>
      <c r="D44" s="94">
        <v>5445760</v>
      </c>
      <c r="E44" s="114">
        <v>55</v>
      </c>
      <c r="F44" s="115" t="s">
        <v>88</v>
      </c>
      <c r="G44" s="116" t="s">
        <v>89</v>
      </c>
      <c r="H44" s="106"/>
      <c r="I44" s="106"/>
      <c r="J44" s="106"/>
    </row>
    <row r="45" spans="1:10" ht="30" customHeight="1">
      <c r="A45" s="113">
        <v>43</v>
      </c>
      <c r="B45" s="48">
        <v>46359</v>
      </c>
      <c r="C45" s="94">
        <v>259744</v>
      </c>
      <c r="D45" s="94">
        <v>5446691</v>
      </c>
      <c r="E45" s="114">
        <v>53</v>
      </c>
      <c r="F45" s="115" t="s">
        <v>88</v>
      </c>
      <c r="G45" s="116" t="s">
        <v>89</v>
      </c>
      <c r="H45" s="106"/>
      <c r="I45" s="106"/>
      <c r="J45" s="106"/>
    </row>
    <row r="46" spans="1:10" ht="30" customHeight="1">
      <c r="A46" s="113">
        <v>44</v>
      </c>
      <c r="B46" s="48">
        <v>46359</v>
      </c>
      <c r="C46" s="94">
        <v>259743</v>
      </c>
      <c r="D46" s="94">
        <v>5446701</v>
      </c>
      <c r="E46" s="114">
        <v>51.5</v>
      </c>
      <c r="F46" s="115" t="s">
        <v>88</v>
      </c>
      <c r="G46" s="116" t="s">
        <v>89</v>
      </c>
      <c r="H46" s="106"/>
      <c r="I46" s="106"/>
      <c r="J46" s="106"/>
    </row>
    <row r="47" spans="1:10" ht="30" customHeight="1">
      <c r="A47" s="113">
        <v>45</v>
      </c>
      <c r="B47" s="48">
        <v>46359</v>
      </c>
      <c r="C47" s="94">
        <v>259742</v>
      </c>
      <c r="D47" s="94">
        <v>5445550</v>
      </c>
      <c r="E47" s="114">
        <v>52</v>
      </c>
      <c r="F47" s="115" t="s">
        <v>88</v>
      </c>
      <c r="G47" s="116" t="s">
        <v>89</v>
      </c>
      <c r="H47" s="106"/>
      <c r="I47" s="106"/>
      <c r="J47" s="106"/>
    </row>
    <row r="48" spans="1:10" ht="30" customHeight="1">
      <c r="A48" s="113">
        <v>46</v>
      </c>
      <c r="B48" s="48">
        <v>46359</v>
      </c>
      <c r="C48" s="94">
        <v>259739</v>
      </c>
      <c r="D48" s="94">
        <v>5445439</v>
      </c>
      <c r="E48" s="114">
        <v>53.6</v>
      </c>
      <c r="F48" s="115" t="s">
        <v>88</v>
      </c>
      <c r="G48" s="116" t="s">
        <v>89</v>
      </c>
      <c r="H48" s="106"/>
      <c r="I48" s="106"/>
      <c r="J48" s="106"/>
    </row>
    <row r="49" spans="1:10" ht="30" customHeight="1">
      <c r="A49" s="113">
        <v>47</v>
      </c>
      <c r="B49" s="48">
        <v>46359</v>
      </c>
      <c r="C49" s="94">
        <v>259740</v>
      </c>
      <c r="D49" s="94">
        <v>5479410</v>
      </c>
      <c r="E49" s="114">
        <v>52</v>
      </c>
      <c r="F49" s="115" t="s">
        <v>88</v>
      </c>
      <c r="G49" s="116" t="s">
        <v>89</v>
      </c>
      <c r="H49" s="106"/>
      <c r="I49" s="106"/>
      <c r="J49" s="106"/>
    </row>
    <row r="50" spans="1:10" ht="30" customHeight="1">
      <c r="A50" s="113">
        <v>48</v>
      </c>
      <c r="B50" s="48">
        <v>46359</v>
      </c>
      <c r="C50" s="94">
        <v>259741</v>
      </c>
      <c r="D50" s="94">
        <v>5446555</v>
      </c>
      <c r="E50" s="114">
        <v>52.5</v>
      </c>
      <c r="F50" s="115" t="s">
        <v>88</v>
      </c>
      <c r="G50" s="116" t="s">
        <v>89</v>
      </c>
      <c r="H50" s="106"/>
      <c r="I50" s="106"/>
      <c r="J50" s="106"/>
    </row>
    <row r="51" spans="1:10" ht="30" customHeight="1">
      <c r="A51" s="113">
        <v>49</v>
      </c>
      <c r="B51" s="48">
        <v>46359</v>
      </c>
      <c r="C51" s="94">
        <v>259736</v>
      </c>
      <c r="D51" s="94">
        <v>5446854</v>
      </c>
      <c r="E51" s="114">
        <v>50.3</v>
      </c>
      <c r="F51" s="115" t="s">
        <v>88</v>
      </c>
      <c r="G51" s="116" t="s">
        <v>89</v>
      </c>
      <c r="H51" s="106"/>
      <c r="I51" s="106"/>
      <c r="J51" s="106"/>
    </row>
    <row r="52" spans="1:10" ht="30" customHeight="1">
      <c r="A52" s="113">
        <v>50</v>
      </c>
      <c r="B52" s="48">
        <v>46359</v>
      </c>
      <c r="C52" s="94">
        <v>259737</v>
      </c>
      <c r="D52" s="94">
        <v>5446046</v>
      </c>
      <c r="E52" s="114">
        <v>53.3</v>
      </c>
      <c r="F52" s="115" t="s">
        <v>88</v>
      </c>
      <c r="G52" s="116" t="s">
        <v>89</v>
      </c>
      <c r="H52" s="106"/>
      <c r="I52" s="106"/>
      <c r="J52" s="106"/>
    </row>
    <row r="53" spans="1:10" ht="30" customHeight="1">
      <c r="A53" s="113">
        <v>51</v>
      </c>
      <c r="B53" s="48">
        <v>46359</v>
      </c>
      <c r="C53" s="94">
        <v>259738</v>
      </c>
      <c r="D53" s="94">
        <v>5446014</v>
      </c>
      <c r="E53" s="114">
        <v>52.7</v>
      </c>
      <c r="F53" s="115" t="s">
        <v>88</v>
      </c>
      <c r="G53" s="116" t="s">
        <v>89</v>
      </c>
      <c r="H53" s="106"/>
      <c r="I53" s="106"/>
      <c r="J53" s="106"/>
    </row>
    <row r="54" spans="1:10" ht="30" customHeight="1">
      <c r="A54" s="113">
        <v>52</v>
      </c>
      <c r="B54" s="48">
        <v>46359</v>
      </c>
      <c r="C54" s="94">
        <v>259735</v>
      </c>
      <c r="D54" s="94">
        <v>5478396</v>
      </c>
      <c r="E54" s="114">
        <v>50.5</v>
      </c>
      <c r="F54" s="115" t="s">
        <v>88</v>
      </c>
      <c r="G54" s="116" t="s">
        <v>89</v>
      </c>
      <c r="H54" s="106"/>
      <c r="I54" s="106"/>
      <c r="J54" s="106"/>
    </row>
    <row r="55" spans="1:10" ht="30" customHeight="1">
      <c r="A55" s="113">
        <v>53</v>
      </c>
      <c r="B55" s="48">
        <v>46359</v>
      </c>
      <c r="C55" s="94">
        <v>427007</v>
      </c>
      <c r="D55" s="94">
        <v>5473367</v>
      </c>
      <c r="E55" s="114">
        <v>51.7</v>
      </c>
      <c r="F55" s="115" t="s">
        <v>88</v>
      </c>
      <c r="G55" s="116" t="s">
        <v>89</v>
      </c>
      <c r="H55" s="106"/>
      <c r="I55" s="106"/>
      <c r="J55" s="106"/>
    </row>
    <row r="56" spans="1:10" ht="30" customHeight="1" thickBot="1">
      <c r="A56" s="117"/>
      <c r="B56" s="50"/>
      <c r="C56" s="50"/>
      <c r="D56" s="50"/>
      <c r="E56" s="50"/>
      <c r="F56" s="50"/>
      <c r="G56" s="118"/>
      <c r="H56" s="106"/>
      <c r="I56" s="106"/>
      <c r="J56" s="106"/>
    </row>
    <row r="57" spans="1:10" ht="9.65" customHeight="1">
      <c r="A57" s="119"/>
      <c r="B57" s="119"/>
      <c r="C57" s="119"/>
      <c r="D57" s="119"/>
      <c r="E57" s="119"/>
      <c r="F57" s="119"/>
      <c r="G57" s="119"/>
      <c r="H57" s="106"/>
      <c r="I57" s="106"/>
      <c r="J57" s="106"/>
    </row>
    <row r="58" spans="1:10">
      <c r="A58" s="119"/>
      <c r="B58" s="119"/>
      <c r="C58" s="119"/>
      <c r="D58" s="119"/>
      <c r="E58" s="120">
        <f>SUM(E3:E57)</f>
        <v>2729.1</v>
      </c>
      <c r="F58" s="119"/>
      <c r="G58" s="119"/>
      <c r="H58" s="106"/>
      <c r="I58" s="106"/>
      <c r="J58" s="106"/>
    </row>
    <row r="59" spans="1:10">
      <c r="A59" s="119"/>
      <c r="B59" s="119"/>
      <c r="C59" s="119"/>
      <c r="D59" s="119"/>
      <c r="E59" s="107"/>
      <c r="F59" s="119"/>
      <c r="G59" s="119"/>
      <c r="H59" s="106"/>
      <c r="I59" s="106"/>
      <c r="J59" s="106"/>
    </row>
    <row r="60" spans="1:10">
      <c r="A60" s="119"/>
      <c r="B60" s="119"/>
      <c r="C60" s="119"/>
      <c r="D60" s="119"/>
      <c r="E60" s="119"/>
      <c r="F60" s="119"/>
      <c r="G60" s="119"/>
      <c r="H60" s="106"/>
      <c r="I60" s="106"/>
      <c r="J60" s="106"/>
    </row>
    <row r="61" spans="1:10">
      <c r="A61" s="119"/>
      <c r="B61" s="119"/>
      <c r="C61" s="119"/>
      <c r="D61" s="119"/>
      <c r="E61" s="119"/>
      <c r="F61" s="119"/>
      <c r="G61" s="119"/>
      <c r="H61" s="106"/>
      <c r="I61" s="106"/>
      <c r="J61" s="106"/>
    </row>
    <row r="62" spans="1:10">
      <c r="A62" s="119"/>
      <c r="B62" s="119"/>
      <c r="C62" s="119"/>
      <c r="D62" s="119"/>
      <c r="E62" s="119"/>
      <c r="F62" s="119"/>
      <c r="G62" s="119"/>
      <c r="H62" s="106"/>
      <c r="I62" s="106"/>
      <c r="J62" s="106"/>
    </row>
    <row r="63" spans="1:10">
      <c r="A63" s="119"/>
      <c r="B63" s="119"/>
      <c r="C63" s="119"/>
      <c r="D63" s="119"/>
      <c r="E63" s="119"/>
      <c r="F63" s="119"/>
      <c r="G63" s="119"/>
      <c r="H63" s="106"/>
      <c r="I63" s="106"/>
      <c r="J63" s="106"/>
    </row>
    <row r="64" spans="1:10">
      <c r="A64" s="119"/>
      <c r="B64" s="119"/>
      <c r="C64" s="119"/>
      <c r="D64" s="119"/>
      <c r="E64" s="119"/>
      <c r="F64" s="119"/>
      <c r="G64" s="119"/>
      <c r="H64" s="106"/>
      <c r="I64" s="106"/>
      <c r="J64" s="106"/>
    </row>
    <row r="65" spans="1:10">
      <c r="A65" s="119"/>
      <c r="B65" s="119"/>
      <c r="C65" s="119"/>
      <c r="D65" s="119"/>
      <c r="E65" s="119"/>
      <c r="F65" s="119"/>
      <c r="G65" s="119"/>
      <c r="H65" s="106"/>
      <c r="I65" s="106"/>
      <c r="J65" s="106"/>
    </row>
    <row r="66" spans="1:10">
      <c r="A66" s="119"/>
      <c r="B66" s="119"/>
      <c r="C66" s="119"/>
      <c r="D66" s="119"/>
      <c r="E66" s="119"/>
      <c r="F66" s="119"/>
      <c r="G66" s="119"/>
      <c r="H66" s="106"/>
      <c r="I66" s="106"/>
      <c r="J66" s="106"/>
    </row>
    <row r="67" spans="1:10">
      <c r="A67" s="119"/>
      <c r="B67" s="119"/>
      <c r="C67" s="119"/>
      <c r="D67" s="119"/>
      <c r="E67" s="119"/>
      <c r="F67" s="119"/>
      <c r="G67" s="119"/>
      <c r="H67" s="106"/>
      <c r="I67" s="106"/>
      <c r="J67" s="106"/>
    </row>
    <row r="68" spans="1:10">
      <c r="A68" s="119"/>
      <c r="B68" s="119"/>
      <c r="C68" s="119"/>
      <c r="D68" s="119"/>
      <c r="E68" s="119"/>
      <c r="F68" s="119"/>
      <c r="G68" s="119"/>
      <c r="H68" s="106"/>
      <c r="I68" s="106"/>
      <c r="J68" s="106"/>
    </row>
    <row r="69" spans="1:10">
      <c r="A69" s="119"/>
      <c r="B69" s="119"/>
      <c r="C69" s="119"/>
      <c r="D69" s="119"/>
      <c r="E69" s="119"/>
      <c r="F69" s="119"/>
      <c r="G69" s="119"/>
      <c r="H69" s="106"/>
      <c r="I69" s="106"/>
      <c r="J69" s="106"/>
    </row>
    <row r="70" spans="1:10">
      <c r="A70" s="119"/>
      <c r="B70" s="119"/>
      <c r="C70" s="119"/>
      <c r="D70" s="119"/>
      <c r="E70" s="119"/>
      <c r="F70" s="119"/>
      <c r="G70" s="119"/>
      <c r="H70" s="106"/>
      <c r="I70" s="106"/>
      <c r="J70" s="106"/>
    </row>
    <row r="71" spans="1:10">
      <c r="A71" s="119"/>
      <c r="B71" s="119"/>
      <c r="C71" s="119"/>
      <c r="D71" s="119"/>
      <c r="E71" s="119"/>
      <c r="F71" s="119"/>
      <c r="G71" s="119"/>
      <c r="H71" s="106"/>
      <c r="I71" s="106"/>
      <c r="J71" s="106"/>
    </row>
    <row r="72" spans="1:10">
      <c r="A72" s="119"/>
      <c r="B72" s="119"/>
      <c r="C72" s="119"/>
      <c r="D72" s="119"/>
      <c r="E72" s="119"/>
      <c r="F72" s="119"/>
      <c r="G72" s="119"/>
      <c r="H72" s="106"/>
      <c r="I72" s="106"/>
      <c r="J72" s="106"/>
    </row>
    <row r="73" spans="1:10">
      <c r="A73" s="119"/>
      <c r="B73" s="119"/>
      <c r="C73" s="119"/>
      <c r="D73" s="119"/>
      <c r="E73" s="119"/>
      <c r="F73" s="119"/>
      <c r="G73" s="119"/>
      <c r="H73" s="106"/>
      <c r="I73" s="106"/>
      <c r="J73" s="106"/>
    </row>
    <row r="74" spans="1:10">
      <c r="A74" s="119"/>
      <c r="B74" s="119"/>
      <c r="C74" s="119"/>
      <c r="D74" s="119"/>
      <c r="E74" s="119"/>
      <c r="F74" s="119"/>
      <c r="G74" s="119"/>
      <c r="H74" s="106"/>
      <c r="I74" s="106"/>
      <c r="J74" s="106"/>
    </row>
    <row r="75" spans="1:10">
      <c r="A75" s="119"/>
      <c r="B75" s="119"/>
      <c r="C75" s="119"/>
      <c r="D75" s="119"/>
      <c r="E75" s="119"/>
      <c r="F75" s="119"/>
      <c r="G75" s="119"/>
      <c r="H75" s="106"/>
      <c r="I75" s="106"/>
      <c r="J75" s="106"/>
    </row>
    <row r="76" spans="1:10">
      <c r="A76" s="119"/>
      <c r="B76" s="119"/>
      <c r="C76" s="119"/>
      <c r="D76" s="119"/>
      <c r="E76" s="119"/>
      <c r="F76" s="119"/>
      <c r="G76" s="119"/>
      <c r="H76" s="106"/>
      <c r="I76" s="106"/>
      <c r="J76" s="106"/>
    </row>
    <row r="77" spans="1:10">
      <c r="A77" s="119"/>
      <c r="B77" s="119"/>
      <c r="C77" s="119"/>
      <c r="D77" s="119"/>
      <c r="E77" s="119"/>
      <c r="F77" s="119"/>
      <c r="G77" s="119"/>
      <c r="H77" s="106"/>
      <c r="I77" s="106"/>
      <c r="J77" s="106"/>
    </row>
    <row r="78" spans="1:10">
      <c r="A78" s="119"/>
      <c r="B78" s="119"/>
      <c r="C78" s="119"/>
      <c r="D78" s="119"/>
      <c r="E78" s="119"/>
      <c r="F78" s="119"/>
      <c r="G78" s="119"/>
      <c r="H78" s="106"/>
      <c r="I78" s="106"/>
      <c r="J78" s="106"/>
    </row>
    <row r="79" spans="1:10">
      <c r="A79" s="119"/>
      <c r="B79" s="119"/>
      <c r="C79" s="119"/>
      <c r="D79" s="119"/>
      <c r="E79" s="119"/>
      <c r="F79" s="119"/>
      <c r="G79" s="119"/>
      <c r="H79" s="106"/>
      <c r="I79" s="106"/>
      <c r="J79" s="106"/>
    </row>
    <row r="80" spans="1:10">
      <c r="A80" s="119"/>
      <c r="B80" s="119"/>
      <c r="C80" s="119"/>
      <c r="D80" s="119"/>
      <c r="E80" s="119"/>
      <c r="F80" s="119"/>
      <c r="G80" s="119"/>
      <c r="H80" s="106"/>
      <c r="I80" s="106"/>
      <c r="J80" s="106"/>
    </row>
    <row r="81" spans="1:10">
      <c r="A81" s="119"/>
      <c r="B81" s="119"/>
      <c r="C81" s="119"/>
      <c r="D81" s="119"/>
      <c r="E81" s="119"/>
      <c r="F81" s="119"/>
      <c r="G81" s="119"/>
      <c r="H81" s="106"/>
      <c r="I81" s="106"/>
      <c r="J81" s="106"/>
    </row>
    <row r="82" spans="1:10">
      <c r="A82" s="119"/>
      <c r="B82" s="119"/>
      <c r="C82" s="119"/>
      <c r="D82" s="119"/>
      <c r="E82" s="119"/>
      <c r="F82" s="119"/>
      <c r="G82" s="119"/>
      <c r="H82" s="106"/>
      <c r="I82" s="106"/>
      <c r="J82" s="106"/>
    </row>
    <row r="83" spans="1:10">
      <c r="A83" s="119"/>
      <c r="B83" s="119"/>
      <c r="C83" s="119"/>
      <c r="D83" s="119"/>
      <c r="E83" s="119"/>
      <c r="F83" s="119"/>
      <c r="G83" s="119"/>
      <c r="H83" s="106"/>
      <c r="I83" s="106"/>
      <c r="J83" s="106"/>
    </row>
    <row r="84" spans="1:10">
      <c r="A84" s="119"/>
      <c r="B84" s="119"/>
      <c r="C84" s="119"/>
      <c r="D84" s="119"/>
      <c r="E84" s="119"/>
      <c r="F84" s="119"/>
      <c r="G84" s="119"/>
      <c r="H84" s="106"/>
      <c r="I84" s="106"/>
      <c r="J84" s="106"/>
    </row>
    <row r="85" spans="1:10">
      <c r="A85" s="119"/>
      <c r="B85" s="119"/>
      <c r="C85" s="119"/>
      <c r="D85" s="119"/>
      <c r="E85" s="119"/>
      <c r="F85" s="119"/>
      <c r="G85" s="119"/>
      <c r="H85" s="106"/>
      <c r="I85" s="106"/>
      <c r="J85" s="106"/>
    </row>
    <row r="86" spans="1:10">
      <c r="A86" s="119"/>
      <c r="B86" s="119"/>
      <c r="C86" s="119"/>
      <c r="D86" s="119"/>
      <c r="E86" s="119"/>
      <c r="F86" s="119"/>
      <c r="G86" s="119"/>
      <c r="H86" s="106"/>
      <c r="I86" s="106"/>
      <c r="J86" s="106"/>
    </row>
    <row r="87" spans="1:10">
      <c r="A87" s="119"/>
      <c r="B87" s="119"/>
      <c r="C87" s="119"/>
      <c r="D87" s="119"/>
      <c r="E87" s="119"/>
      <c r="F87" s="119"/>
      <c r="G87" s="119"/>
      <c r="H87" s="106"/>
      <c r="I87" s="106"/>
      <c r="J87" s="106"/>
    </row>
    <row r="88" spans="1:10">
      <c r="A88" s="119"/>
      <c r="B88" s="119"/>
      <c r="C88" s="119"/>
      <c r="D88" s="119"/>
      <c r="E88" s="119"/>
      <c r="F88" s="119"/>
      <c r="G88" s="119"/>
      <c r="H88" s="106"/>
      <c r="I88" s="106"/>
      <c r="J88" s="106"/>
    </row>
    <row r="89" spans="1:10">
      <c r="A89" s="119"/>
      <c r="B89" s="119"/>
      <c r="C89" s="119"/>
      <c r="D89" s="119"/>
      <c r="E89" s="119"/>
      <c r="F89" s="119"/>
      <c r="G89" s="119"/>
      <c r="H89" s="106"/>
      <c r="I89" s="106"/>
      <c r="J89" s="106"/>
    </row>
    <row r="90" spans="1:10">
      <c r="A90" s="119"/>
      <c r="B90" s="119"/>
      <c r="C90" s="119"/>
      <c r="D90" s="119"/>
      <c r="E90" s="119"/>
      <c r="F90" s="119"/>
      <c r="G90" s="119"/>
      <c r="H90" s="106"/>
      <c r="I90" s="106"/>
      <c r="J90" s="106"/>
    </row>
    <row r="91" spans="1:10">
      <c r="A91" s="119"/>
      <c r="B91" s="119"/>
      <c r="C91" s="119"/>
      <c r="D91" s="119"/>
      <c r="E91" s="119"/>
      <c r="F91" s="119"/>
      <c r="G91" s="119"/>
      <c r="H91" s="106"/>
      <c r="I91" s="106"/>
      <c r="J91" s="106"/>
    </row>
    <row r="92" spans="1:10">
      <c r="A92" s="119"/>
      <c r="B92" s="119"/>
      <c r="C92" s="119"/>
      <c r="D92" s="119"/>
      <c r="E92" s="119"/>
      <c r="F92" s="119"/>
      <c r="G92" s="119"/>
      <c r="H92" s="106"/>
      <c r="I92" s="106"/>
      <c r="J92" s="106"/>
    </row>
    <row r="93" spans="1:10">
      <c r="A93" s="119"/>
      <c r="B93" s="119"/>
      <c r="C93" s="119"/>
      <c r="D93" s="119"/>
      <c r="E93" s="119"/>
      <c r="F93" s="119"/>
      <c r="G93" s="119"/>
      <c r="H93" s="106"/>
      <c r="I93" s="106"/>
      <c r="J93" s="106"/>
    </row>
    <row r="94" spans="1:10">
      <c r="A94" s="119"/>
      <c r="B94" s="119"/>
      <c r="C94" s="119"/>
      <c r="D94" s="119"/>
      <c r="E94" s="119"/>
      <c r="F94" s="119"/>
      <c r="G94" s="119"/>
      <c r="H94" s="106"/>
      <c r="I94" s="106"/>
      <c r="J94" s="106"/>
    </row>
    <row r="95" spans="1:10">
      <c r="A95" s="119"/>
      <c r="B95" s="119"/>
      <c r="C95" s="119"/>
      <c r="D95" s="119"/>
      <c r="E95" s="119"/>
      <c r="F95" s="119"/>
      <c r="G95" s="119"/>
      <c r="H95" s="106"/>
      <c r="I95" s="106"/>
      <c r="J95" s="106"/>
    </row>
    <row r="96" spans="1:10">
      <c r="A96" s="119"/>
      <c r="B96" s="119"/>
      <c r="C96" s="119"/>
      <c r="D96" s="119"/>
      <c r="E96" s="119"/>
      <c r="F96" s="119"/>
      <c r="G96" s="119"/>
      <c r="H96" s="106"/>
      <c r="I96" s="106"/>
      <c r="J96" s="106"/>
    </row>
    <row r="97" spans="1:10">
      <c r="A97" s="119"/>
      <c r="B97" s="119"/>
      <c r="C97" s="119"/>
      <c r="D97" s="119"/>
      <c r="E97" s="119"/>
      <c r="F97" s="119"/>
      <c r="G97" s="119"/>
      <c r="H97" s="106"/>
      <c r="I97" s="106"/>
      <c r="J97" s="106"/>
    </row>
    <row r="98" spans="1:10">
      <c r="A98" s="119"/>
      <c r="B98" s="119"/>
      <c r="C98" s="119"/>
      <c r="D98" s="119"/>
      <c r="E98" s="119"/>
      <c r="F98" s="119"/>
      <c r="G98" s="119"/>
      <c r="H98" s="106"/>
      <c r="I98" s="106"/>
      <c r="J98" s="106"/>
    </row>
    <row r="99" spans="1:10">
      <c r="A99" s="119"/>
      <c r="B99" s="119"/>
      <c r="C99" s="119"/>
      <c r="D99" s="119"/>
      <c r="E99" s="119"/>
      <c r="F99" s="119"/>
      <c r="G99" s="119"/>
      <c r="H99" s="106"/>
      <c r="I99" s="106"/>
      <c r="J99" s="106"/>
    </row>
    <row r="100" spans="1:10">
      <c r="A100" s="119"/>
      <c r="B100" s="119"/>
      <c r="C100" s="119"/>
      <c r="D100" s="119"/>
      <c r="E100" s="119"/>
      <c r="F100" s="119"/>
      <c r="G100" s="119"/>
      <c r="H100" s="106"/>
      <c r="I100" s="106"/>
      <c r="J100" s="106"/>
    </row>
    <row r="101" spans="1:10">
      <c r="A101" s="119"/>
      <c r="B101" s="119"/>
      <c r="C101" s="119"/>
      <c r="D101" s="119"/>
      <c r="E101" s="119"/>
      <c r="F101" s="119"/>
      <c r="G101" s="119"/>
      <c r="H101" s="106"/>
      <c r="I101" s="106"/>
      <c r="J101" s="106"/>
    </row>
    <row r="102" spans="1:10">
      <c r="A102" s="119"/>
      <c r="B102" s="119"/>
      <c r="C102" s="119"/>
      <c r="D102" s="119"/>
      <c r="E102" s="119"/>
      <c r="F102" s="119"/>
      <c r="G102" s="119"/>
      <c r="H102" s="106"/>
      <c r="I102" s="106"/>
      <c r="J102" s="106"/>
    </row>
    <row r="103" spans="1:10">
      <c r="A103" s="119"/>
      <c r="B103" s="119"/>
      <c r="C103" s="119"/>
      <c r="D103" s="119"/>
      <c r="E103" s="119"/>
      <c r="F103" s="119"/>
      <c r="G103" s="119"/>
      <c r="H103" s="106"/>
      <c r="I103" s="106"/>
      <c r="J103" s="106"/>
    </row>
    <row r="104" spans="1:10">
      <c r="A104" s="119"/>
      <c r="B104" s="119"/>
      <c r="C104" s="119"/>
      <c r="D104" s="119"/>
      <c r="E104" s="119"/>
      <c r="F104" s="119"/>
      <c r="G104" s="119"/>
      <c r="H104" s="106"/>
      <c r="I104" s="106"/>
      <c r="J104" s="106"/>
    </row>
    <row r="105" spans="1:10">
      <c r="A105" s="119"/>
      <c r="B105" s="119"/>
      <c r="C105" s="119"/>
      <c r="D105" s="119"/>
      <c r="E105" s="119"/>
      <c r="F105" s="119"/>
      <c r="G105" s="119"/>
      <c r="H105" s="106"/>
      <c r="I105" s="106"/>
      <c r="J105" s="106"/>
    </row>
    <row r="106" spans="1:10">
      <c r="A106" s="119"/>
      <c r="B106" s="119"/>
      <c r="C106" s="119"/>
      <c r="D106" s="119"/>
      <c r="E106" s="119"/>
      <c r="F106" s="119"/>
      <c r="G106" s="119"/>
      <c r="H106" s="106"/>
      <c r="I106" s="106"/>
      <c r="J106" s="106"/>
    </row>
    <row r="107" spans="1:10">
      <c r="A107" s="119"/>
      <c r="B107" s="119"/>
      <c r="C107" s="119"/>
      <c r="D107" s="119"/>
      <c r="E107" s="119"/>
      <c r="F107" s="119"/>
      <c r="G107" s="119"/>
      <c r="H107" s="106"/>
      <c r="I107" s="106"/>
      <c r="J107" s="106"/>
    </row>
    <row r="108" spans="1:10">
      <c r="A108" s="119"/>
      <c r="B108" s="119"/>
      <c r="C108" s="119"/>
      <c r="D108" s="119"/>
      <c r="E108" s="119"/>
      <c r="F108" s="119"/>
      <c r="G108" s="119"/>
      <c r="H108" s="106"/>
      <c r="I108" s="106"/>
      <c r="J108" s="106"/>
    </row>
    <row r="109" spans="1:10">
      <c r="A109" s="119"/>
      <c r="B109" s="119"/>
      <c r="C109" s="119"/>
      <c r="D109" s="119"/>
      <c r="E109" s="119"/>
      <c r="F109" s="119"/>
      <c r="G109" s="119"/>
      <c r="H109" s="106"/>
      <c r="I109" s="106"/>
      <c r="J109" s="106"/>
    </row>
    <row r="110" spans="1:10">
      <c r="A110" s="119"/>
      <c r="B110" s="119"/>
      <c r="C110" s="119"/>
      <c r="D110" s="119"/>
      <c r="E110" s="119"/>
      <c r="F110" s="119"/>
      <c r="G110" s="119"/>
      <c r="H110" s="106"/>
      <c r="I110" s="106"/>
      <c r="J110" s="106"/>
    </row>
    <row r="111" spans="1:10">
      <c r="A111" s="119"/>
      <c r="B111" s="119"/>
      <c r="C111" s="119"/>
      <c r="D111" s="119"/>
      <c r="E111" s="119"/>
      <c r="F111" s="119"/>
      <c r="G111" s="119"/>
      <c r="H111" s="106"/>
      <c r="I111" s="106"/>
      <c r="J111" s="106"/>
    </row>
    <row r="112" spans="1:10">
      <c r="A112" s="119"/>
      <c r="B112" s="119"/>
      <c r="C112" s="119"/>
      <c r="D112" s="119"/>
      <c r="E112" s="119"/>
      <c r="F112" s="119"/>
      <c r="G112" s="119"/>
      <c r="H112" s="106"/>
      <c r="I112" s="106"/>
      <c r="J112" s="106"/>
    </row>
    <row r="113" spans="1:10">
      <c r="A113" s="119"/>
      <c r="B113" s="119"/>
      <c r="C113" s="119"/>
      <c r="D113" s="119"/>
      <c r="E113" s="119"/>
      <c r="F113" s="119"/>
      <c r="G113" s="119"/>
      <c r="H113" s="106"/>
      <c r="I113" s="106"/>
      <c r="J113" s="106"/>
    </row>
    <row r="114" spans="1:10">
      <c r="A114" s="119"/>
      <c r="B114" s="119"/>
      <c r="C114" s="119"/>
      <c r="D114" s="119"/>
      <c r="E114" s="119"/>
      <c r="F114" s="119"/>
      <c r="G114" s="119"/>
      <c r="H114" s="106"/>
      <c r="I114" s="106"/>
      <c r="J114" s="106"/>
    </row>
    <row r="115" spans="1:10">
      <c r="A115" s="119"/>
      <c r="B115" s="119"/>
      <c r="C115" s="119"/>
      <c r="D115" s="119"/>
      <c r="E115" s="119"/>
      <c r="F115" s="119"/>
      <c r="G115" s="119"/>
      <c r="H115" s="106"/>
      <c r="I115" s="106"/>
      <c r="J115" s="106"/>
    </row>
    <row r="116" spans="1:10">
      <c r="A116" s="119"/>
      <c r="B116" s="119"/>
      <c r="C116" s="119"/>
      <c r="D116" s="119"/>
      <c r="E116" s="119"/>
      <c r="F116" s="119"/>
      <c r="G116" s="119"/>
      <c r="H116" s="106"/>
      <c r="I116" s="106"/>
      <c r="J116" s="106"/>
    </row>
    <row r="117" spans="1:10">
      <c r="A117" s="119"/>
      <c r="B117" s="119"/>
      <c r="C117" s="119"/>
      <c r="D117" s="119"/>
      <c r="E117" s="119"/>
      <c r="F117" s="119"/>
      <c r="G117" s="119"/>
      <c r="H117" s="106"/>
      <c r="I117" s="106"/>
      <c r="J117" s="106"/>
    </row>
    <row r="118" spans="1:10">
      <c r="A118" s="119"/>
      <c r="B118" s="119"/>
      <c r="C118" s="119"/>
      <c r="D118" s="119"/>
      <c r="E118" s="119"/>
      <c r="F118" s="119"/>
      <c r="G118" s="119"/>
      <c r="H118" s="106"/>
      <c r="I118" s="106"/>
      <c r="J118" s="106"/>
    </row>
    <row r="119" spans="1:10">
      <c r="A119" s="119"/>
      <c r="B119" s="119"/>
      <c r="C119" s="119"/>
      <c r="D119" s="119"/>
      <c r="E119" s="119"/>
      <c r="F119" s="119"/>
      <c r="G119" s="119"/>
      <c r="H119" s="106"/>
      <c r="I119" s="106"/>
      <c r="J119" s="106"/>
    </row>
    <row r="120" spans="1:10">
      <c r="A120" s="119"/>
      <c r="B120" s="119"/>
      <c r="C120" s="119"/>
      <c r="D120" s="119"/>
      <c r="E120" s="119"/>
      <c r="F120" s="119"/>
      <c r="G120" s="119"/>
      <c r="H120" s="106"/>
      <c r="I120" s="106"/>
      <c r="J120" s="106"/>
    </row>
    <row r="121" spans="1:10">
      <c r="A121" s="119"/>
      <c r="B121" s="119"/>
      <c r="C121" s="119"/>
      <c r="D121" s="119"/>
      <c r="E121" s="119"/>
      <c r="F121" s="119"/>
      <c r="G121" s="119"/>
      <c r="H121" s="106"/>
      <c r="I121" s="106"/>
      <c r="J121" s="106"/>
    </row>
  </sheetData>
  <mergeCells count="1">
    <mergeCell ref="A1:G1"/>
  </mergeCells>
  <conditionalFormatting sqref="D1:D1048576">
    <cfRule type="duplicateValues" dxfId="48" priority="172"/>
    <cfRule type="duplicateValues" dxfId="47" priority="173"/>
  </conditionalFormatting>
  <conditionalFormatting sqref="D3:D55 C2:C1048576">
    <cfRule type="duplicateValues" dxfId="46" priority="169"/>
    <cfRule type="duplicateValues" dxfId="45" priority="170"/>
    <cfRule type="duplicateValues" dxfId="44" priority="171"/>
  </conditionalFormatting>
  <conditionalFormatting sqref="D56:D1048576 D2 A1">
    <cfRule type="duplicateValues" dxfId="43" priority="5"/>
  </conditionalFormatting>
  <conditionalFormatting sqref="I1:I1048576 D1:D1048576">
    <cfRule type="duplicateValues" dxfId="42" priority="3"/>
    <cfRule type="duplicateValues" dxfId="41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9E63-4013-4437-9D36-F2F5D8EF2C48}">
  <dimension ref="A1:J88"/>
  <sheetViews>
    <sheetView topLeftCell="A20" workbookViewId="0">
      <selection activeCell="E3" sqref="E3:E22"/>
    </sheetView>
  </sheetViews>
  <sheetFormatPr defaultRowHeight="15.5"/>
  <cols>
    <col min="1" max="1" width="5" style="16" customWidth="1"/>
    <col min="2" max="2" width="9.90625" style="16" customWidth="1"/>
    <col min="3" max="3" width="10.54296875" style="16" customWidth="1"/>
    <col min="4" max="4" width="12.6328125" style="16" customWidth="1"/>
    <col min="5" max="5" width="13.54296875" style="16" customWidth="1"/>
    <col min="6" max="6" width="14.1796875" style="16" customWidth="1"/>
    <col min="7" max="7" width="17.54296875" style="16" customWidth="1"/>
    <col min="8" max="8" width="8.90625" style="107"/>
    <col min="9" max="9" width="9.54296875" style="107" bestFit="1" customWidth="1"/>
    <col min="10" max="233" width="8.90625" style="107"/>
    <col min="234" max="234" width="7.6328125" style="107" customWidth="1"/>
    <col min="235" max="235" width="12.54296875" style="107" customWidth="1"/>
    <col min="236" max="236" width="9.36328125" style="107" customWidth="1"/>
    <col min="237" max="237" width="9.90625" style="107" customWidth="1"/>
    <col min="238" max="238" width="10.36328125" style="107" bestFit="1" customWidth="1"/>
    <col min="239" max="239" width="11.90625" style="107" customWidth="1"/>
    <col min="240" max="240" width="10.54296875" style="107" customWidth="1"/>
    <col min="241" max="241" width="13.36328125" style="107" customWidth="1"/>
    <col min="242" max="243" width="10.54296875" style="107" customWidth="1"/>
    <col min="244" max="244" width="10.6328125" style="107" customWidth="1"/>
    <col min="245" max="245" width="12.08984375" style="107" customWidth="1"/>
    <col min="246" max="249" width="10.54296875" style="107" customWidth="1"/>
    <col min="250" max="250" width="12.08984375" style="107" bestFit="1" customWidth="1"/>
    <col min="251" max="251" width="10.54296875" style="107" customWidth="1"/>
    <col min="252" max="252" width="11.36328125" style="107" customWidth="1"/>
    <col min="253" max="253" width="14.36328125" style="107" bestFit="1" customWidth="1"/>
    <col min="254" max="489" width="8.90625" style="107"/>
    <col min="490" max="490" width="7.6328125" style="107" customWidth="1"/>
    <col min="491" max="491" width="12.54296875" style="107" customWidth="1"/>
    <col min="492" max="492" width="9.36328125" style="107" customWidth="1"/>
    <col min="493" max="493" width="9.90625" style="107" customWidth="1"/>
    <col min="494" max="494" width="10.36328125" style="107" bestFit="1" customWidth="1"/>
    <col min="495" max="495" width="11.90625" style="107" customWidth="1"/>
    <col min="496" max="496" width="10.54296875" style="107" customWidth="1"/>
    <col min="497" max="497" width="13.36328125" style="107" customWidth="1"/>
    <col min="498" max="499" width="10.54296875" style="107" customWidth="1"/>
    <col min="500" max="500" width="10.6328125" style="107" customWidth="1"/>
    <col min="501" max="501" width="12.08984375" style="107" customWidth="1"/>
    <col min="502" max="505" width="10.54296875" style="107" customWidth="1"/>
    <col min="506" max="506" width="12.08984375" style="107" bestFit="1" customWidth="1"/>
    <col min="507" max="507" width="10.54296875" style="107" customWidth="1"/>
    <col min="508" max="508" width="11.36328125" style="107" customWidth="1"/>
    <col min="509" max="509" width="14.36328125" style="107" bestFit="1" customWidth="1"/>
    <col min="510" max="745" width="8.90625" style="107"/>
    <col min="746" max="746" width="7.6328125" style="107" customWidth="1"/>
    <col min="747" max="747" width="12.54296875" style="107" customWidth="1"/>
    <col min="748" max="748" width="9.36328125" style="107" customWidth="1"/>
    <col min="749" max="749" width="9.90625" style="107" customWidth="1"/>
    <col min="750" max="750" width="10.36328125" style="107" bestFit="1" customWidth="1"/>
    <col min="751" max="751" width="11.90625" style="107" customWidth="1"/>
    <col min="752" max="752" width="10.54296875" style="107" customWidth="1"/>
    <col min="753" max="753" width="13.36328125" style="107" customWidth="1"/>
    <col min="754" max="755" width="10.54296875" style="107" customWidth="1"/>
    <col min="756" max="756" width="10.6328125" style="107" customWidth="1"/>
    <col min="757" max="757" width="12.08984375" style="107" customWidth="1"/>
    <col min="758" max="761" width="10.54296875" style="107" customWidth="1"/>
    <col min="762" max="762" width="12.08984375" style="107" bestFit="1" customWidth="1"/>
    <col min="763" max="763" width="10.54296875" style="107" customWidth="1"/>
    <col min="764" max="764" width="11.36328125" style="107" customWidth="1"/>
    <col min="765" max="765" width="14.36328125" style="107" bestFit="1" customWidth="1"/>
    <col min="766" max="1001" width="8.90625" style="107"/>
    <col min="1002" max="1002" width="7.6328125" style="107" customWidth="1"/>
    <col min="1003" max="1003" width="12.54296875" style="107" customWidth="1"/>
    <col min="1004" max="1004" width="9.36328125" style="107" customWidth="1"/>
    <col min="1005" max="1005" width="9.90625" style="107" customWidth="1"/>
    <col min="1006" max="1006" width="10.36328125" style="107" bestFit="1" customWidth="1"/>
    <col min="1007" max="1007" width="11.90625" style="107" customWidth="1"/>
    <col min="1008" max="1008" width="10.54296875" style="107" customWidth="1"/>
    <col min="1009" max="1009" width="13.36328125" style="107" customWidth="1"/>
    <col min="1010" max="1011" width="10.54296875" style="107" customWidth="1"/>
    <col min="1012" max="1012" width="10.6328125" style="107" customWidth="1"/>
    <col min="1013" max="1013" width="12.08984375" style="107" customWidth="1"/>
    <col min="1014" max="1017" width="10.54296875" style="107" customWidth="1"/>
    <col min="1018" max="1018" width="12.08984375" style="107" bestFit="1" customWidth="1"/>
    <col min="1019" max="1019" width="10.54296875" style="107" customWidth="1"/>
    <col min="1020" max="1020" width="11.36328125" style="107" customWidth="1"/>
    <col min="1021" max="1021" width="14.36328125" style="107" bestFit="1" customWidth="1"/>
    <col min="1022" max="1257" width="8.90625" style="107"/>
    <col min="1258" max="1258" width="7.6328125" style="107" customWidth="1"/>
    <col min="1259" max="1259" width="12.54296875" style="107" customWidth="1"/>
    <col min="1260" max="1260" width="9.36328125" style="107" customWidth="1"/>
    <col min="1261" max="1261" width="9.90625" style="107" customWidth="1"/>
    <col min="1262" max="1262" width="10.36328125" style="107" bestFit="1" customWidth="1"/>
    <col min="1263" max="1263" width="11.90625" style="107" customWidth="1"/>
    <col min="1264" max="1264" width="10.54296875" style="107" customWidth="1"/>
    <col min="1265" max="1265" width="13.36328125" style="107" customWidth="1"/>
    <col min="1266" max="1267" width="10.54296875" style="107" customWidth="1"/>
    <col min="1268" max="1268" width="10.6328125" style="107" customWidth="1"/>
    <col min="1269" max="1269" width="12.08984375" style="107" customWidth="1"/>
    <col min="1270" max="1273" width="10.54296875" style="107" customWidth="1"/>
    <col min="1274" max="1274" width="12.08984375" style="107" bestFit="1" customWidth="1"/>
    <col min="1275" max="1275" width="10.54296875" style="107" customWidth="1"/>
    <col min="1276" max="1276" width="11.36328125" style="107" customWidth="1"/>
    <col min="1277" max="1277" width="14.36328125" style="107" bestFit="1" customWidth="1"/>
    <col min="1278" max="1513" width="8.90625" style="107"/>
    <col min="1514" max="1514" width="7.6328125" style="107" customWidth="1"/>
    <col min="1515" max="1515" width="12.54296875" style="107" customWidth="1"/>
    <col min="1516" max="1516" width="9.36328125" style="107" customWidth="1"/>
    <col min="1517" max="1517" width="9.90625" style="107" customWidth="1"/>
    <col min="1518" max="1518" width="10.36328125" style="107" bestFit="1" customWidth="1"/>
    <col min="1519" max="1519" width="11.90625" style="107" customWidth="1"/>
    <col min="1520" max="1520" width="10.54296875" style="107" customWidth="1"/>
    <col min="1521" max="1521" width="13.36328125" style="107" customWidth="1"/>
    <col min="1522" max="1523" width="10.54296875" style="107" customWidth="1"/>
    <col min="1524" max="1524" width="10.6328125" style="107" customWidth="1"/>
    <col min="1525" max="1525" width="12.08984375" style="107" customWidth="1"/>
    <col min="1526" max="1529" width="10.54296875" style="107" customWidth="1"/>
    <col min="1530" max="1530" width="12.08984375" style="107" bestFit="1" customWidth="1"/>
    <col min="1531" max="1531" width="10.54296875" style="107" customWidth="1"/>
    <col min="1532" max="1532" width="11.36328125" style="107" customWidth="1"/>
    <col min="1533" max="1533" width="14.36328125" style="107" bestFit="1" customWidth="1"/>
    <col min="1534" max="1769" width="8.90625" style="107"/>
    <col min="1770" max="1770" width="7.6328125" style="107" customWidth="1"/>
    <col min="1771" max="1771" width="12.54296875" style="107" customWidth="1"/>
    <col min="1772" max="1772" width="9.36328125" style="107" customWidth="1"/>
    <col min="1773" max="1773" width="9.90625" style="107" customWidth="1"/>
    <col min="1774" max="1774" width="10.36328125" style="107" bestFit="1" customWidth="1"/>
    <col min="1775" max="1775" width="11.90625" style="107" customWidth="1"/>
    <col min="1776" max="1776" width="10.54296875" style="107" customWidth="1"/>
    <col min="1777" max="1777" width="13.36328125" style="107" customWidth="1"/>
    <col min="1778" max="1779" width="10.54296875" style="107" customWidth="1"/>
    <col min="1780" max="1780" width="10.6328125" style="107" customWidth="1"/>
    <col min="1781" max="1781" width="12.08984375" style="107" customWidth="1"/>
    <col min="1782" max="1785" width="10.54296875" style="107" customWidth="1"/>
    <col min="1786" max="1786" width="12.08984375" style="107" bestFit="1" customWidth="1"/>
    <col min="1787" max="1787" width="10.54296875" style="107" customWidth="1"/>
    <col min="1788" max="1788" width="11.36328125" style="107" customWidth="1"/>
    <col min="1789" max="1789" width="14.36328125" style="107" bestFit="1" customWidth="1"/>
    <col min="1790" max="2025" width="8.90625" style="107"/>
    <col min="2026" max="2026" width="7.6328125" style="107" customWidth="1"/>
    <col min="2027" max="2027" width="12.54296875" style="107" customWidth="1"/>
    <col min="2028" max="2028" width="9.36328125" style="107" customWidth="1"/>
    <col min="2029" max="2029" width="9.90625" style="107" customWidth="1"/>
    <col min="2030" max="2030" width="10.36328125" style="107" bestFit="1" customWidth="1"/>
    <col min="2031" max="2031" width="11.90625" style="107" customWidth="1"/>
    <col min="2032" max="2032" width="10.54296875" style="107" customWidth="1"/>
    <col min="2033" max="2033" width="13.36328125" style="107" customWidth="1"/>
    <col min="2034" max="2035" width="10.54296875" style="107" customWidth="1"/>
    <col min="2036" max="2036" width="10.6328125" style="107" customWidth="1"/>
    <col min="2037" max="2037" width="12.08984375" style="107" customWidth="1"/>
    <col min="2038" max="2041" width="10.54296875" style="107" customWidth="1"/>
    <col min="2042" max="2042" width="12.08984375" style="107" bestFit="1" customWidth="1"/>
    <col min="2043" max="2043" width="10.54296875" style="107" customWidth="1"/>
    <col min="2044" max="2044" width="11.36328125" style="107" customWidth="1"/>
    <col min="2045" max="2045" width="14.36328125" style="107" bestFit="1" customWidth="1"/>
    <col min="2046" max="2281" width="8.90625" style="107"/>
    <col min="2282" max="2282" width="7.6328125" style="107" customWidth="1"/>
    <col min="2283" max="2283" width="12.54296875" style="107" customWidth="1"/>
    <col min="2284" max="2284" width="9.36328125" style="107" customWidth="1"/>
    <col min="2285" max="2285" width="9.90625" style="107" customWidth="1"/>
    <col min="2286" max="2286" width="10.36328125" style="107" bestFit="1" customWidth="1"/>
    <col min="2287" max="2287" width="11.90625" style="107" customWidth="1"/>
    <col min="2288" max="2288" width="10.54296875" style="107" customWidth="1"/>
    <col min="2289" max="2289" width="13.36328125" style="107" customWidth="1"/>
    <col min="2290" max="2291" width="10.54296875" style="107" customWidth="1"/>
    <col min="2292" max="2292" width="10.6328125" style="107" customWidth="1"/>
    <col min="2293" max="2293" width="12.08984375" style="107" customWidth="1"/>
    <col min="2294" max="2297" width="10.54296875" style="107" customWidth="1"/>
    <col min="2298" max="2298" width="12.08984375" style="107" bestFit="1" customWidth="1"/>
    <col min="2299" max="2299" width="10.54296875" style="107" customWidth="1"/>
    <col min="2300" max="2300" width="11.36328125" style="107" customWidth="1"/>
    <col min="2301" max="2301" width="14.36328125" style="107" bestFit="1" customWidth="1"/>
    <col min="2302" max="2537" width="8.90625" style="107"/>
    <col min="2538" max="2538" width="7.6328125" style="107" customWidth="1"/>
    <col min="2539" max="2539" width="12.54296875" style="107" customWidth="1"/>
    <col min="2540" max="2540" width="9.36328125" style="107" customWidth="1"/>
    <col min="2541" max="2541" width="9.90625" style="107" customWidth="1"/>
    <col min="2542" max="2542" width="10.36328125" style="107" bestFit="1" customWidth="1"/>
    <col min="2543" max="2543" width="11.90625" style="107" customWidth="1"/>
    <col min="2544" max="2544" width="10.54296875" style="107" customWidth="1"/>
    <col min="2545" max="2545" width="13.36328125" style="107" customWidth="1"/>
    <col min="2546" max="2547" width="10.54296875" style="107" customWidth="1"/>
    <col min="2548" max="2548" width="10.6328125" style="107" customWidth="1"/>
    <col min="2549" max="2549" width="12.08984375" style="107" customWidth="1"/>
    <col min="2550" max="2553" width="10.54296875" style="107" customWidth="1"/>
    <col min="2554" max="2554" width="12.08984375" style="107" bestFit="1" customWidth="1"/>
    <col min="2555" max="2555" width="10.54296875" style="107" customWidth="1"/>
    <col min="2556" max="2556" width="11.36328125" style="107" customWidth="1"/>
    <col min="2557" max="2557" width="14.36328125" style="107" bestFit="1" customWidth="1"/>
    <col min="2558" max="2793" width="8.90625" style="107"/>
    <col min="2794" max="2794" width="7.6328125" style="107" customWidth="1"/>
    <col min="2795" max="2795" width="12.54296875" style="107" customWidth="1"/>
    <col min="2796" max="2796" width="9.36328125" style="107" customWidth="1"/>
    <col min="2797" max="2797" width="9.90625" style="107" customWidth="1"/>
    <col min="2798" max="2798" width="10.36328125" style="107" bestFit="1" customWidth="1"/>
    <col min="2799" max="2799" width="11.90625" style="107" customWidth="1"/>
    <col min="2800" max="2800" width="10.54296875" style="107" customWidth="1"/>
    <col min="2801" max="2801" width="13.36328125" style="107" customWidth="1"/>
    <col min="2802" max="2803" width="10.54296875" style="107" customWidth="1"/>
    <col min="2804" max="2804" width="10.6328125" style="107" customWidth="1"/>
    <col min="2805" max="2805" width="12.08984375" style="107" customWidth="1"/>
    <col min="2806" max="2809" width="10.54296875" style="107" customWidth="1"/>
    <col min="2810" max="2810" width="12.08984375" style="107" bestFit="1" customWidth="1"/>
    <col min="2811" max="2811" width="10.54296875" style="107" customWidth="1"/>
    <col min="2812" max="2812" width="11.36328125" style="107" customWidth="1"/>
    <col min="2813" max="2813" width="14.36328125" style="107" bestFit="1" customWidth="1"/>
    <col min="2814" max="3049" width="8.90625" style="107"/>
    <col min="3050" max="3050" width="7.6328125" style="107" customWidth="1"/>
    <col min="3051" max="3051" width="12.54296875" style="107" customWidth="1"/>
    <col min="3052" max="3052" width="9.36328125" style="107" customWidth="1"/>
    <col min="3053" max="3053" width="9.90625" style="107" customWidth="1"/>
    <col min="3054" max="3054" width="10.36328125" style="107" bestFit="1" customWidth="1"/>
    <col min="3055" max="3055" width="11.90625" style="107" customWidth="1"/>
    <col min="3056" max="3056" width="10.54296875" style="107" customWidth="1"/>
    <col min="3057" max="3057" width="13.36328125" style="107" customWidth="1"/>
    <col min="3058" max="3059" width="10.54296875" style="107" customWidth="1"/>
    <col min="3060" max="3060" width="10.6328125" style="107" customWidth="1"/>
    <col min="3061" max="3061" width="12.08984375" style="107" customWidth="1"/>
    <col min="3062" max="3065" width="10.54296875" style="107" customWidth="1"/>
    <col min="3066" max="3066" width="12.08984375" style="107" bestFit="1" customWidth="1"/>
    <col min="3067" max="3067" width="10.54296875" style="107" customWidth="1"/>
    <col min="3068" max="3068" width="11.36328125" style="107" customWidth="1"/>
    <col min="3069" max="3069" width="14.36328125" style="107" bestFit="1" customWidth="1"/>
    <col min="3070" max="3305" width="8.90625" style="107"/>
    <col min="3306" max="3306" width="7.6328125" style="107" customWidth="1"/>
    <col min="3307" max="3307" width="12.54296875" style="107" customWidth="1"/>
    <col min="3308" max="3308" width="9.36328125" style="107" customWidth="1"/>
    <col min="3309" max="3309" width="9.90625" style="107" customWidth="1"/>
    <col min="3310" max="3310" width="10.36328125" style="107" bestFit="1" customWidth="1"/>
    <col min="3311" max="3311" width="11.90625" style="107" customWidth="1"/>
    <col min="3312" max="3312" width="10.54296875" style="107" customWidth="1"/>
    <col min="3313" max="3313" width="13.36328125" style="107" customWidth="1"/>
    <col min="3314" max="3315" width="10.54296875" style="107" customWidth="1"/>
    <col min="3316" max="3316" width="10.6328125" style="107" customWidth="1"/>
    <col min="3317" max="3317" width="12.08984375" style="107" customWidth="1"/>
    <col min="3318" max="3321" width="10.54296875" style="107" customWidth="1"/>
    <col min="3322" max="3322" width="12.08984375" style="107" bestFit="1" customWidth="1"/>
    <col min="3323" max="3323" width="10.54296875" style="107" customWidth="1"/>
    <col min="3324" max="3324" width="11.36328125" style="107" customWidth="1"/>
    <col min="3325" max="3325" width="14.36328125" style="107" bestFit="1" customWidth="1"/>
    <col min="3326" max="3561" width="8.90625" style="107"/>
    <col min="3562" max="3562" width="7.6328125" style="107" customWidth="1"/>
    <col min="3563" max="3563" width="12.54296875" style="107" customWidth="1"/>
    <col min="3564" max="3564" width="9.36328125" style="107" customWidth="1"/>
    <col min="3565" max="3565" width="9.90625" style="107" customWidth="1"/>
    <col min="3566" max="3566" width="10.36328125" style="107" bestFit="1" customWidth="1"/>
    <col min="3567" max="3567" width="11.90625" style="107" customWidth="1"/>
    <col min="3568" max="3568" width="10.54296875" style="107" customWidth="1"/>
    <col min="3569" max="3569" width="13.36328125" style="107" customWidth="1"/>
    <col min="3570" max="3571" width="10.54296875" style="107" customWidth="1"/>
    <col min="3572" max="3572" width="10.6328125" style="107" customWidth="1"/>
    <col min="3573" max="3573" width="12.08984375" style="107" customWidth="1"/>
    <col min="3574" max="3577" width="10.54296875" style="107" customWidth="1"/>
    <col min="3578" max="3578" width="12.08984375" style="107" bestFit="1" customWidth="1"/>
    <col min="3579" max="3579" width="10.54296875" style="107" customWidth="1"/>
    <col min="3580" max="3580" width="11.36328125" style="107" customWidth="1"/>
    <col min="3581" max="3581" width="14.36328125" style="107" bestFit="1" customWidth="1"/>
    <col min="3582" max="3817" width="8.90625" style="107"/>
    <col min="3818" max="3818" width="7.6328125" style="107" customWidth="1"/>
    <col min="3819" max="3819" width="12.54296875" style="107" customWidth="1"/>
    <col min="3820" max="3820" width="9.36328125" style="107" customWidth="1"/>
    <col min="3821" max="3821" width="9.90625" style="107" customWidth="1"/>
    <col min="3822" max="3822" width="10.36328125" style="107" bestFit="1" customWidth="1"/>
    <col min="3823" max="3823" width="11.90625" style="107" customWidth="1"/>
    <col min="3824" max="3824" width="10.54296875" style="107" customWidth="1"/>
    <col min="3825" max="3825" width="13.36328125" style="107" customWidth="1"/>
    <col min="3826" max="3827" width="10.54296875" style="107" customWidth="1"/>
    <col min="3828" max="3828" width="10.6328125" style="107" customWidth="1"/>
    <col min="3829" max="3829" width="12.08984375" style="107" customWidth="1"/>
    <col min="3830" max="3833" width="10.54296875" style="107" customWidth="1"/>
    <col min="3834" max="3834" width="12.08984375" style="107" bestFit="1" customWidth="1"/>
    <col min="3835" max="3835" width="10.54296875" style="107" customWidth="1"/>
    <col min="3836" max="3836" width="11.36328125" style="107" customWidth="1"/>
    <col min="3837" max="3837" width="14.36328125" style="107" bestFit="1" customWidth="1"/>
    <col min="3838" max="4073" width="8.90625" style="107"/>
    <col min="4074" max="4074" width="7.6328125" style="107" customWidth="1"/>
    <col min="4075" max="4075" width="12.54296875" style="107" customWidth="1"/>
    <col min="4076" max="4076" width="9.36328125" style="107" customWidth="1"/>
    <col min="4077" max="4077" width="9.90625" style="107" customWidth="1"/>
    <col min="4078" max="4078" width="10.36328125" style="107" bestFit="1" customWidth="1"/>
    <col min="4079" max="4079" width="11.90625" style="107" customWidth="1"/>
    <col min="4080" max="4080" width="10.54296875" style="107" customWidth="1"/>
    <col min="4081" max="4081" width="13.36328125" style="107" customWidth="1"/>
    <col min="4082" max="4083" width="10.54296875" style="107" customWidth="1"/>
    <col min="4084" max="4084" width="10.6328125" style="107" customWidth="1"/>
    <col min="4085" max="4085" width="12.08984375" style="107" customWidth="1"/>
    <col min="4086" max="4089" width="10.54296875" style="107" customWidth="1"/>
    <col min="4090" max="4090" width="12.08984375" style="107" bestFit="1" customWidth="1"/>
    <col min="4091" max="4091" width="10.54296875" style="107" customWidth="1"/>
    <col min="4092" max="4092" width="11.36328125" style="107" customWidth="1"/>
    <col min="4093" max="4093" width="14.36328125" style="107" bestFit="1" customWidth="1"/>
    <col min="4094" max="4329" width="8.90625" style="107"/>
    <col min="4330" max="4330" width="7.6328125" style="107" customWidth="1"/>
    <col min="4331" max="4331" width="12.54296875" style="107" customWidth="1"/>
    <col min="4332" max="4332" width="9.36328125" style="107" customWidth="1"/>
    <col min="4333" max="4333" width="9.90625" style="107" customWidth="1"/>
    <col min="4334" max="4334" width="10.36328125" style="107" bestFit="1" customWidth="1"/>
    <col min="4335" max="4335" width="11.90625" style="107" customWidth="1"/>
    <col min="4336" max="4336" width="10.54296875" style="107" customWidth="1"/>
    <col min="4337" max="4337" width="13.36328125" style="107" customWidth="1"/>
    <col min="4338" max="4339" width="10.54296875" style="107" customWidth="1"/>
    <col min="4340" max="4340" width="10.6328125" style="107" customWidth="1"/>
    <col min="4341" max="4341" width="12.08984375" style="107" customWidth="1"/>
    <col min="4342" max="4345" width="10.54296875" style="107" customWidth="1"/>
    <col min="4346" max="4346" width="12.08984375" style="107" bestFit="1" customWidth="1"/>
    <col min="4347" max="4347" width="10.54296875" style="107" customWidth="1"/>
    <col min="4348" max="4348" width="11.36328125" style="107" customWidth="1"/>
    <col min="4349" max="4349" width="14.36328125" style="107" bestFit="1" customWidth="1"/>
    <col min="4350" max="4585" width="8.90625" style="107"/>
    <col min="4586" max="4586" width="7.6328125" style="107" customWidth="1"/>
    <col min="4587" max="4587" width="12.54296875" style="107" customWidth="1"/>
    <col min="4588" max="4588" width="9.36328125" style="107" customWidth="1"/>
    <col min="4589" max="4589" width="9.90625" style="107" customWidth="1"/>
    <col min="4590" max="4590" width="10.36328125" style="107" bestFit="1" customWidth="1"/>
    <col min="4591" max="4591" width="11.90625" style="107" customWidth="1"/>
    <col min="4592" max="4592" width="10.54296875" style="107" customWidth="1"/>
    <col min="4593" max="4593" width="13.36328125" style="107" customWidth="1"/>
    <col min="4594" max="4595" width="10.54296875" style="107" customWidth="1"/>
    <col min="4596" max="4596" width="10.6328125" style="107" customWidth="1"/>
    <col min="4597" max="4597" width="12.08984375" style="107" customWidth="1"/>
    <col min="4598" max="4601" width="10.54296875" style="107" customWidth="1"/>
    <col min="4602" max="4602" width="12.08984375" style="107" bestFit="1" customWidth="1"/>
    <col min="4603" max="4603" width="10.54296875" style="107" customWidth="1"/>
    <col min="4604" max="4604" width="11.36328125" style="107" customWidth="1"/>
    <col min="4605" max="4605" width="14.36328125" style="107" bestFit="1" customWidth="1"/>
    <col min="4606" max="4841" width="8.90625" style="107"/>
    <col min="4842" max="4842" width="7.6328125" style="107" customWidth="1"/>
    <col min="4843" max="4843" width="12.54296875" style="107" customWidth="1"/>
    <col min="4844" max="4844" width="9.36328125" style="107" customWidth="1"/>
    <col min="4845" max="4845" width="9.90625" style="107" customWidth="1"/>
    <col min="4846" max="4846" width="10.36328125" style="107" bestFit="1" customWidth="1"/>
    <col min="4847" max="4847" width="11.90625" style="107" customWidth="1"/>
    <col min="4848" max="4848" width="10.54296875" style="107" customWidth="1"/>
    <col min="4849" max="4849" width="13.36328125" style="107" customWidth="1"/>
    <col min="4850" max="4851" width="10.54296875" style="107" customWidth="1"/>
    <col min="4852" max="4852" width="10.6328125" style="107" customWidth="1"/>
    <col min="4853" max="4853" width="12.08984375" style="107" customWidth="1"/>
    <col min="4854" max="4857" width="10.54296875" style="107" customWidth="1"/>
    <col min="4858" max="4858" width="12.08984375" style="107" bestFit="1" customWidth="1"/>
    <col min="4859" max="4859" width="10.54296875" style="107" customWidth="1"/>
    <col min="4860" max="4860" width="11.36328125" style="107" customWidth="1"/>
    <col min="4861" max="4861" width="14.36328125" style="107" bestFit="1" customWidth="1"/>
    <col min="4862" max="5097" width="8.90625" style="107"/>
    <col min="5098" max="5098" width="7.6328125" style="107" customWidth="1"/>
    <col min="5099" max="5099" width="12.54296875" style="107" customWidth="1"/>
    <col min="5100" max="5100" width="9.36328125" style="107" customWidth="1"/>
    <col min="5101" max="5101" width="9.90625" style="107" customWidth="1"/>
    <col min="5102" max="5102" width="10.36328125" style="107" bestFit="1" customWidth="1"/>
    <col min="5103" max="5103" width="11.90625" style="107" customWidth="1"/>
    <col min="5104" max="5104" width="10.54296875" style="107" customWidth="1"/>
    <col min="5105" max="5105" width="13.36328125" style="107" customWidth="1"/>
    <col min="5106" max="5107" width="10.54296875" style="107" customWidth="1"/>
    <col min="5108" max="5108" width="10.6328125" style="107" customWidth="1"/>
    <col min="5109" max="5109" width="12.08984375" style="107" customWidth="1"/>
    <col min="5110" max="5113" width="10.54296875" style="107" customWidth="1"/>
    <col min="5114" max="5114" width="12.08984375" style="107" bestFit="1" customWidth="1"/>
    <col min="5115" max="5115" width="10.54296875" style="107" customWidth="1"/>
    <col min="5116" max="5116" width="11.36328125" style="107" customWidth="1"/>
    <col min="5117" max="5117" width="14.36328125" style="107" bestFit="1" customWidth="1"/>
    <col min="5118" max="5353" width="8.90625" style="107"/>
    <col min="5354" max="5354" width="7.6328125" style="107" customWidth="1"/>
    <col min="5355" max="5355" width="12.54296875" style="107" customWidth="1"/>
    <col min="5356" max="5356" width="9.36328125" style="107" customWidth="1"/>
    <col min="5357" max="5357" width="9.90625" style="107" customWidth="1"/>
    <col min="5358" max="5358" width="10.36328125" style="107" bestFit="1" customWidth="1"/>
    <col min="5359" max="5359" width="11.90625" style="107" customWidth="1"/>
    <col min="5360" max="5360" width="10.54296875" style="107" customWidth="1"/>
    <col min="5361" max="5361" width="13.36328125" style="107" customWidth="1"/>
    <col min="5362" max="5363" width="10.54296875" style="107" customWidth="1"/>
    <col min="5364" max="5364" width="10.6328125" style="107" customWidth="1"/>
    <col min="5365" max="5365" width="12.08984375" style="107" customWidth="1"/>
    <col min="5366" max="5369" width="10.54296875" style="107" customWidth="1"/>
    <col min="5370" max="5370" width="12.08984375" style="107" bestFit="1" customWidth="1"/>
    <col min="5371" max="5371" width="10.54296875" style="107" customWidth="1"/>
    <col min="5372" max="5372" width="11.36328125" style="107" customWidth="1"/>
    <col min="5373" max="5373" width="14.36328125" style="107" bestFit="1" customWidth="1"/>
    <col min="5374" max="5609" width="8.90625" style="107"/>
    <col min="5610" max="5610" width="7.6328125" style="107" customWidth="1"/>
    <col min="5611" max="5611" width="12.54296875" style="107" customWidth="1"/>
    <col min="5612" max="5612" width="9.36328125" style="107" customWidth="1"/>
    <col min="5613" max="5613" width="9.90625" style="107" customWidth="1"/>
    <col min="5614" max="5614" width="10.36328125" style="107" bestFit="1" customWidth="1"/>
    <col min="5615" max="5615" width="11.90625" style="107" customWidth="1"/>
    <col min="5616" max="5616" width="10.54296875" style="107" customWidth="1"/>
    <col min="5617" max="5617" width="13.36328125" style="107" customWidth="1"/>
    <col min="5618" max="5619" width="10.54296875" style="107" customWidth="1"/>
    <col min="5620" max="5620" width="10.6328125" style="107" customWidth="1"/>
    <col min="5621" max="5621" width="12.08984375" style="107" customWidth="1"/>
    <col min="5622" max="5625" width="10.54296875" style="107" customWidth="1"/>
    <col min="5626" max="5626" width="12.08984375" style="107" bestFit="1" customWidth="1"/>
    <col min="5627" max="5627" width="10.54296875" style="107" customWidth="1"/>
    <col min="5628" max="5628" width="11.36328125" style="107" customWidth="1"/>
    <col min="5629" max="5629" width="14.36328125" style="107" bestFit="1" customWidth="1"/>
    <col min="5630" max="5865" width="8.90625" style="107"/>
    <col min="5866" max="5866" width="7.6328125" style="107" customWidth="1"/>
    <col min="5867" max="5867" width="12.54296875" style="107" customWidth="1"/>
    <col min="5868" max="5868" width="9.36328125" style="107" customWidth="1"/>
    <col min="5869" max="5869" width="9.90625" style="107" customWidth="1"/>
    <col min="5870" max="5870" width="10.36328125" style="107" bestFit="1" customWidth="1"/>
    <col min="5871" max="5871" width="11.90625" style="107" customWidth="1"/>
    <col min="5872" max="5872" width="10.54296875" style="107" customWidth="1"/>
    <col min="5873" max="5873" width="13.36328125" style="107" customWidth="1"/>
    <col min="5874" max="5875" width="10.54296875" style="107" customWidth="1"/>
    <col min="5876" max="5876" width="10.6328125" style="107" customWidth="1"/>
    <col min="5877" max="5877" width="12.08984375" style="107" customWidth="1"/>
    <col min="5878" max="5881" width="10.54296875" style="107" customWidth="1"/>
    <col min="5882" max="5882" width="12.08984375" style="107" bestFit="1" customWidth="1"/>
    <col min="5883" max="5883" width="10.54296875" style="107" customWidth="1"/>
    <col min="5884" max="5884" width="11.36328125" style="107" customWidth="1"/>
    <col min="5885" max="5885" width="14.36328125" style="107" bestFit="1" customWidth="1"/>
    <col min="5886" max="6121" width="8.90625" style="107"/>
    <col min="6122" max="6122" width="7.6328125" style="107" customWidth="1"/>
    <col min="6123" max="6123" width="12.54296875" style="107" customWidth="1"/>
    <col min="6124" max="6124" width="9.36328125" style="107" customWidth="1"/>
    <col min="6125" max="6125" width="9.90625" style="107" customWidth="1"/>
    <col min="6126" max="6126" width="10.36328125" style="107" bestFit="1" customWidth="1"/>
    <col min="6127" max="6127" width="11.90625" style="107" customWidth="1"/>
    <col min="6128" max="6128" width="10.54296875" style="107" customWidth="1"/>
    <col min="6129" max="6129" width="13.36328125" style="107" customWidth="1"/>
    <col min="6130" max="6131" width="10.54296875" style="107" customWidth="1"/>
    <col min="6132" max="6132" width="10.6328125" style="107" customWidth="1"/>
    <col min="6133" max="6133" width="12.08984375" style="107" customWidth="1"/>
    <col min="6134" max="6137" width="10.54296875" style="107" customWidth="1"/>
    <col min="6138" max="6138" width="12.08984375" style="107" bestFit="1" customWidth="1"/>
    <col min="6139" max="6139" width="10.54296875" style="107" customWidth="1"/>
    <col min="6140" max="6140" width="11.36328125" style="107" customWidth="1"/>
    <col min="6141" max="6141" width="14.36328125" style="107" bestFit="1" customWidth="1"/>
    <col min="6142" max="6377" width="8.90625" style="107"/>
    <col min="6378" max="6378" width="7.6328125" style="107" customWidth="1"/>
    <col min="6379" max="6379" width="12.54296875" style="107" customWidth="1"/>
    <col min="6380" max="6380" width="9.36328125" style="107" customWidth="1"/>
    <col min="6381" max="6381" width="9.90625" style="107" customWidth="1"/>
    <col min="6382" max="6382" width="10.36328125" style="107" bestFit="1" customWidth="1"/>
    <col min="6383" max="6383" width="11.90625" style="107" customWidth="1"/>
    <col min="6384" max="6384" width="10.54296875" style="107" customWidth="1"/>
    <col min="6385" max="6385" width="13.36328125" style="107" customWidth="1"/>
    <col min="6386" max="6387" width="10.54296875" style="107" customWidth="1"/>
    <col min="6388" max="6388" width="10.6328125" style="107" customWidth="1"/>
    <col min="6389" max="6389" width="12.08984375" style="107" customWidth="1"/>
    <col min="6390" max="6393" width="10.54296875" style="107" customWidth="1"/>
    <col min="6394" max="6394" width="12.08984375" style="107" bestFit="1" customWidth="1"/>
    <col min="6395" max="6395" width="10.54296875" style="107" customWidth="1"/>
    <col min="6396" max="6396" width="11.36328125" style="107" customWidth="1"/>
    <col min="6397" max="6397" width="14.36328125" style="107" bestFit="1" customWidth="1"/>
    <col min="6398" max="6633" width="8.90625" style="107"/>
    <col min="6634" max="6634" width="7.6328125" style="107" customWidth="1"/>
    <col min="6635" max="6635" width="12.54296875" style="107" customWidth="1"/>
    <col min="6636" max="6636" width="9.36328125" style="107" customWidth="1"/>
    <col min="6637" max="6637" width="9.90625" style="107" customWidth="1"/>
    <col min="6638" max="6638" width="10.36328125" style="107" bestFit="1" customWidth="1"/>
    <col min="6639" max="6639" width="11.90625" style="107" customWidth="1"/>
    <col min="6640" max="6640" width="10.54296875" style="107" customWidth="1"/>
    <col min="6641" max="6641" width="13.36328125" style="107" customWidth="1"/>
    <col min="6642" max="6643" width="10.54296875" style="107" customWidth="1"/>
    <col min="6644" max="6644" width="10.6328125" style="107" customWidth="1"/>
    <col min="6645" max="6645" width="12.08984375" style="107" customWidth="1"/>
    <col min="6646" max="6649" width="10.54296875" style="107" customWidth="1"/>
    <col min="6650" max="6650" width="12.08984375" style="107" bestFit="1" customWidth="1"/>
    <col min="6651" max="6651" width="10.54296875" style="107" customWidth="1"/>
    <col min="6652" max="6652" width="11.36328125" style="107" customWidth="1"/>
    <col min="6653" max="6653" width="14.36328125" style="107" bestFit="1" customWidth="1"/>
    <col min="6654" max="6889" width="8.90625" style="107"/>
    <col min="6890" max="6890" width="7.6328125" style="107" customWidth="1"/>
    <col min="6891" max="6891" width="12.54296875" style="107" customWidth="1"/>
    <col min="6892" max="6892" width="9.36328125" style="107" customWidth="1"/>
    <col min="6893" max="6893" width="9.90625" style="107" customWidth="1"/>
    <col min="6894" max="6894" width="10.36328125" style="107" bestFit="1" customWidth="1"/>
    <col min="6895" max="6895" width="11.90625" style="107" customWidth="1"/>
    <col min="6896" max="6896" width="10.54296875" style="107" customWidth="1"/>
    <col min="6897" max="6897" width="13.36328125" style="107" customWidth="1"/>
    <col min="6898" max="6899" width="10.54296875" style="107" customWidth="1"/>
    <col min="6900" max="6900" width="10.6328125" style="107" customWidth="1"/>
    <col min="6901" max="6901" width="12.08984375" style="107" customWidth="1"/>
    <col min="6902" max="6905" width="10.54296875" style="107" customWidth="1"/>
    <col min="6906" max="6906" width="12.08984375" style="107" bestFit="1" customWidth="1"/>
    <col min="6907" max="6907" width="10.54296875" style="107" customWidth="1"/>
    <col min="6908" max="6908" width="11.36328125" style="107" customWidth="1"/>
    <col min="6909" max="6909" width="14.36328125" style="107" bestFit="1" customWidth="1"/>
    <col min="6910" max="7145" width="8.90625" style="107"/>
    <col min="7146" max="7146" width="7.6328125" style="107" customWidth="1"/>
    <col min="7147" max="7147" width="12.54296875" style="107" customWidth="1"/>
    <col min="7148" max="7148" width="9.36328125" style="107" customWidth="1"/>
    <col min="7149" max="7149" width="9.90625" style="107" customWidth="1"/>
    <col min="7150" max="7150" width="10.36328125" style="107" bestFit="1" customWidth="1"/>
    <col min="7151" max="7151" width="11.90625" style="107" customWidth="1"/>
    <col min="7152" max="7152" width="10.54296875" style="107" customWidth="1"/>
    <col min="7153" max="7153" width="13.36328125" style="107" customWidth="1"/>
    <col min="7154" max="7155" width="10.54296875" style="107" customWidth="1"/>
    <col min="7156" max="7156" width="10.6328125" style="107" customWidth="1"/>
    <col min="7157" max="7157" width="12.08984375" style="107" customWidth="1"/>
    <col min="7158" max="7161" width="10.54296875" style="107" customWidth="1"/>
    <col min="7162" max="7162" width="12.08984375" style="107" bestFit="1" customWidth="1"/>
    <col min="7163" max="7163" width="10.54296875" style="107" customWidth="1"/>
    <col min="7164" max="7164" width="11.36328125" style="107" customWidth="1"/>
    <col min="7165" max="7165" width="14.36328125" style="107" bestFit="1" customWidth="1"/>
    <col min="7166" max="7401" width="8.90625" style="107"/>
    <col min="7402" max="7402" width="7.6328125" style="107" customWidth="1"/>
    <col min="7403" max="7403" width="12.54296875" style="107" customWidth="1"/>
    <col min="7404" max="7404" width="9.36328125" style="107" customWidth="1"/>
    <col min="7405" max="7405" width="9.90625" style="107" customWidth="1"/>
    <col min="7406" max="7406" width="10.36328125" style="107" bestFit="1" customWidth="1"/>
    <col min="7407" max="7407" width="11.90625" style="107" customWidth="1"/>
    <col min="7408" max="7408" width="10.54296875" style="107" customWidth="1"/>
    <col min="7409" max="7409" width="13.36328125" style="107" customWidth="1"/>
    <col min="7410" max="7411" width="10.54296875" style="107" customWidth="1"/>
    <col min="7412" max="7412" width="10.6328125" style="107" customWidth="1"/>
    <col min="7413" max="7413" width="12.08984375" style="107" customWidth="1"/>
    <col min="7414" max="7417" width="10.54296875" style="107" customWidth="1"/>
    <col min="7418" max="7418" width="12.08984375" style="107" bestFit="1" customWidth="1"/>
    <col min="7419" max="7419" width="10.54296875" style="107" customWidth="1"/>
    <col min="7420" max="7420" width="11.36328125" style="107" customWidth="1"/>
    <col min="7421" max="7421" width="14.36328125" style="107" bestFit="1" customWidth="1"/>
    <col min="7422" max="7657" width="8.90625" style="107"/>
    <col min="7658" max="7658" width="7.6328125" style="107" customWidth="1"/>
    <col min="7659" max="7659" width="12.54296875" style="107" customWidth="1"/>
    <col min="7660" max="7660" width="9.36328125" style="107" customWidth="1"/>
    <col min="7661" max="7661" width="9.90625" style="107" customWidth="1"/>
    <col min="7662" max="7662" width="10.36328125" style="107" bestFit="1" customWidth="1"/>
    <col min="7663" max="7663" width="11.90625" style="107" customWidth="1"/>
    <col min="7664" max="7664" width="10.54296875" style="107" customWidth="1"/>
    <col min="7665" max="7665" width="13.36328125" style="107" customWidth="1"/>
    <col min="7666" max="7667" width="10.54296875" style="107" customWidth="1"/>
    <col min="7668" max="7668" width="10.6328125" style="107" customWidth="1"/>
    <col min="7669" max="7669" width="12.08984375" style="107" customWidth="1"/>
    <col min="7670" max="7673" width="10.54296875" style="107" customWidth="1"/>
    <col min="7674" max="7674" width="12.08984375" style="107" bestFit="1" customWidth="1"/>
    <col min="7675" max="7675" width="10.54296875" style="107" customWidth="1"/>
    <col min="7676" max="7676" width="11.36328125" style="107" customWidth="1"/>
    <col min="7677" max="7677" width="14.36328125" style="107" bestFit="1" customWidth="1"/>
    <col min="7678" max="7913" width="8.90625" style="107"/>
    <col min="7914" max="7914" width="7.6328125" style="107" customWidth="1"/>
    <col min="7915" max="7915" width="12.54296875" style="107" customWidth="1"/>
    <col min="7916" max="7916" width="9.36328125" style="107" customWidth="1"/>
    <col min="7917" max="7917" width="9.90625" style="107" customWidth="1"/>
    <col min="7918" max="7918" width="10.36328125" style="107" bestFit="1" customWidth="1"/>
    <col min="7919" max="7919" width="11.90625" style="107" customWidth="1"/>
    <col min="7920" max="7920" width="10.54296875" style="107" customWidth="1"/>
    <col min="7921" max="7921" width="13.36328125" style="107" customWidth="1"/>
    <col min="7922" max="7923" width="10.54296875" style="107" customWidth="1"/>
    <col min="7924" max="7924" width="10.6328125" style="107" customWidth="1"/>
    <col min="7925" max="7925" width="12.08984375" style="107" customWidth="1"/>
    <col min="7926" max="7929" width="10.54296875" style="107" customWidth="1"/>
    <col min="7930" max="7930" width="12.08984375" style="107" bestFit="1" customWidth="1"/>
    <col min="7931" max="7931" width="10.54296875" style="107" customWidth="1"/>
    <col min="7932" max="7932" width="11.36328125" style="107" customWidth="1"/>
    <col min="7933" max="7933" width="14.36328125" style="107" bestFit="1" customWidth="1"/>
    <col min="7934" max="8169" width="8.90625" style="107"/>
    <col min="8170" max="8170" width="7.6328125" style="107" customWidth="1"/>
    <col min="8171" max="8171" width="12.54296875" style="107" customWidth="1"/>
    <col min="8172" max="8172" width="9.36328125" style="107" customWidth="1"/>
    <col min="8173" max="8173" width="9.90625" style="107" customWidth="1"/>
    <col min="8174" max="8174" width="10.36328125" style="107" bestFit="1" customWidth="1"/>
    <col min="8175" max="8175" width="11.90625" style="107" customWidth="1"/>
    <col min="8176" max="8176" width="10.54296875" style="107" customWidth="1"/>
    <col min="8177" max="8177" width="13.36328125" style="107" customWidth="1"/>
    <col min="8178" max="8179" width="10.54296875" style="107" customWidth="1"/>
    <col min="8180" max="8180" width="10.6328125" style="107" customWidth="1"/>
    <col min="8181" max="8181" width="12.08984375" style="107" customWidth="1"/>
    <col min="8182" max="8185" width="10.54296875" style="107" customWidth="1"/>
    <col min="8186" max="8186" width="12.08984375" style="107" bestFit="1" customWidth="1"/>
    <col min="8187" max="8187" width="10.54296875" style="107" customWidth="1"/>
    <col min="8188" max="8188" width="11.36328125" style="107" customWidth="1"/>
    <col min="8189" max="8189" width="14.36328125" style="107" bestFit="1" customWidth="1"/>
    <col min="8190" max="8425" width="8.90625" style="107"/>
    <col min="8426" max="8426" width="7.6328125" style="107" customWidth="1"/>
    <col min="8427" max="8427" width="12.54296875" style="107" customWidth="1"/>
    <col min="8428" max="8428" width="9.36328125" style="107" customWidth="1"/>
    <col min="8429" max="8429" width="9.90625" style="107" customWidth="1"/>
    <col min="8430" max="8430" width="10.36328125" style="107" bestFit="1" customWidth="1"/>
    <col min="8431" max="8431" width="11.90625" style="107" customWidth="1"/>
    <col min="8432" max="8432" width="10.54296875" style="107" customWidth="1"/>
    <col min="8433" max="8433" width="13.36328125" style="107" customWidth="1"/>
    <col min="8434" max="8435" width="10.54296875" style="107" customWidth="1"/>
    <col min="8436" max="8436" width="10.6328125" style="107" customWidth="1"/>
    <col min="8437" max="8437" width="12.08984375" style="107" customWidth="1"/>
    <col min="8438" max="8441" width="10.54296875" style="107" customWidth="1"/>
    <col min="8442" max="8442" width="12.08984375" style="107" bestFit="1" customWidth="1"/>
    <col min="8443" max="8443" width="10.54296875" style="107" customWidth="1"/>
    <col min="8444" max="8444" width="11.36328125" style="107" customWidth="1"/>
    <col min="8445" max="8445" width="14.36328125" style="107" bestFit="1" customWidth="1"/>
    <col min="8446" max="8681" width="8.90625" style="107"/>
    <col min="8682" max="8682" width="7.6328125" style="107" customWidth="1"/>
    <col min="8683" max="8683" width="12.54296875" style="107" customWidth="1"/>
    <col min="8684" max="8684" width="9.36328125" style="107" customWidth="1"/>
    <col min="8685" max="8685" width="9.90625" style="107" customWidth="1"/>
    <col min="8686" max="8686" width="10.36328125" style="107" bestFit="1" customWidth="1"/>
    <col min="8687" max="8687" width="11.90625" style="107" customWidth="1"/>
    <col min="8688" max="8688" width="10.54296875" style="107" customWidth="1"/>
    <col min="8689" max="8689" width="13.36328125" style="107" customWidth="1"/>
    <col min="8690" max="8691" width="10.54296875" style="107" customWidth="1"/>
    <col min="8692" max="8692" width="10.6328125" style="107" customWidth="1"/>
    <col min="8693" max="8693" width="12.08984375" style="107" customWidth="1"/>
    <col min="8694" max="8697" width="10.54296875" style="107" customWidth="1"/>
    <col min="8698" max="8698" width="12.08984375" style="107" bestFit="1" customWidth="1"/>
    <col min="8699" max="8699" width="10.54296875" style="107" customWidth="1"/>
    <col min="8700" max="8700" width="11.36328125" style="107" customWidth="1"/>
    <col min="8701" max="8701" width="14.36328125" style="107" bestFit="1" customWidth="1"/>
    <col min="8702" max="8937" width="8.90625" style="107"/>
    <col min="8938" max="8938" width="7.6328125" style="107" customWidth="1"/>
    <col min="8939" max="8939" width="12.54296875" style="107" customWidth="1"/>
    <col min="8940" max="8940" width="9.36328125" style="107" customWidth="1"/>
    <col min="8941" max="8941" width="9.90625" style="107" customWidth="1"/>
    <col min="8942" max="8942" width="10.36328125" style="107" bestFit="1" customWidth="1"/>
    <col min="8943" max="8943" width="11.90625" style="107" customWidth="1"/>
    <col min="8944" max="8944" width="10.54296875" style="107" customWidth="1"/>
    <col min="8945" max="8945" width="13.36328125" style="107" customWidth="1"/>
    <col min="8946" max="8947" width="10.54296875" style="107" customWidth="1"/>
    <col min="8948" max="8948" width="10.6328125" style="107" customWidth="1"/>
    <col min="8949" max="8949" width="12.08984375" style="107" customWidth="1"/>
    <col min="8950" max="8953" width="10.54296875" style="107" customWidth="1"/>
    <col min="8954" max="8954" width="12.08984375" style="107" bestFit="1" customWidth="1"/>
    <col min="8955" max="8955" width="10.54296875" style="107" customWidth="1"/>
    <col min="8956" max="8956" width="11.36328125" style="107" customWidth="1"/>
    <col min="8957" max="8957" width="14.36328125" style="107" bestFit="1" customWidth="1"/>
    <col min="8958" max="9193" width="8.90625" style="107"/>
    <col min="9194" max="9194" width="7.6328125" style="107" customWidth="1"/>
    <col min="9195" max="9195" width="12.54296875" style="107" customWidth="1"/>
    <col min="9196" max="9196" width="9.36328125" style="107" customWidth="1"/>
    <col min="9197" max="9197" width="9.90625" style="107" customWidth="1"/>
    <col min="9198" max="9198" width="10.36328125" style="107" bestFit="1" customWidth="1"/>
    <col min="9199" max="9199" width="11.90625" style="107" customWidth="1"/>
    <col min="9200" max="9200" width="10.54296875" style="107" customWidth="1"/>
    <col min="9201" max="9201" width="13.36328125" style="107" customWidth="1"/>
    <col min="9202" max="9203" width="10.54296875" style="107" customWidth="1"/>
    <col min="9204" max="9204" width="10.6328125" style="107" customWidth="1"/>
    <col min="9205" max="9205" width="12.08984375" style="107" customWidth="1"/>
    <col min="9206" max="9209" width="10.54296875" style="107" customWidth="1"/>
    <col min="9210" max="9210" width="12.08984375" style="107" bestFit="1" customWidth="1"/>
    <col min="9211" max="9211" width="10.54296875" style="107" customWidth="1"/>
    <col min="9212" max="9212" width="11.36328125" style="107" customWidth="1"/>
    <col min="9213" max="9213" width="14.36328125" style="107" bestFit="1" customWidth="1"/>
    <col min="9214" max="9449" width="8.90625" style="107"/>
    <col min="9450" max="9450" width="7.6328125" style="107" customWidth="1"/>
    <col min="9451" max="9451" width="12.54296875" style="107" customWidth="1"/>
    <col min="9452" max="9452" width="9.36328125" style="107" customWidth="1"/>
    <col min="9453" max="9453" width="9.90625" style="107" customWidth="1"/>
    <col min="9454" max="9454" width="10.36328125" style="107" bestFit="1" customWidth="1"/>
    <col min="9455" max="9455" width="11.90625" style="107" customWidth="1"/>
    <col min="9456" max="9456" width="10.54296875" style="107" customWidth="1"/>
    <col min="9457" max="9457" width="13.36328125" style="107" customWidth="1"/>
    <col min="9458" max="9459" width="10.54296875" style="107" customWidth="1"/>
    <col min="9460" max="9460" width="10.6328125" style="107" customWidth="1"/>
    <col min="9461" max="9461" width="12.08984375" style="107" customWidth="1"/>
    <col min="9462" max="9465" width="10.54296875" style="107" customWidth="1"/>
    <col min="9466" max="9466" width="12.08984375" style="107" bestFit="1" customWidth="1"/>
    <col min="9467" max="9467" width="10.54296875" style="107" customWidth="1"/>
    <col min="9468" max="9468" width="11.36328125" style="107" customWidth="1"/>
    <col min="9469" max="9469" width="14.36328125" style="107" bestFit="1" customWidth="1"/>
    <col min="9470" max="9705" width="8.90625" style="107"/>
    <col min="9706" max="9706" width="7.6328125" style="107" customWidth="1"/>
    <col min="9707" max="9707" width="12.54296875" style="107" customWidth="1"/>
    <col min="9708" max="9708" width="9.36328125" style="107" customWidth="1"/>
    <col min="9709" max="9709" width="9.90625" style="107" customWidth="1"/>
    <col min="9710" max="9710" width="10.36328125" style="107" bestFit="1" customWidth="1"/>
    <col min="9711" max="9711" width="11.90625" style="107" customWidth="1"/>
    <col min="9712" max="9712" width="10.54296875" style="107" customWidth="1"/>
    <col min="9713" max="9713" width="13.36328125" style="107" customWidth="1"/>
    <col min="9714" max="9715" width="10.54296875" style="107" customWidth="1"/>
    <col min="9716" max="9716" width="10.6328125" style="107" customWidth="1"/>
    <col min="9717" max="9717" width="12.08984375" style="107" customWidth="1"/>
    <col min="9718" max="9721" width="10.54296875" style="107" customWidth="1"/>
    <col min="9722" max="9722" width="12.08984375" style="107" bestFit="1" customWidth="1"/>
    <col min="9723" max="9723" width="10.54296875" style="107" customWidth="1"/>
    <col min="9724" max="9724" width="11.36328125" style="107" customWidth="1"/>
    <col min="9725" max="9725" width="14.36328125" style="107" bestFit="1" customWidth="1"/>
    <col min="9726" max="9961" width="8.90625" style="107"/>
    <col min="9962" max="9962" width="7.6328125" style="107" customWidth="1"/>
    <col min="9963" max="9963" width="12.54296875" style="107" customWidth="1"/>
    <col min="9964" max="9964" width="9.36328125" style="107" customWidth="1"/>
    <col min="9965" max="9965" width="9.90625" style="107" customWidth="1"/>
    <col min="9966" max="9966" width="10.36328125" style="107" bestFit="1" customWidth="1"/>
    <col min="9967" max="9967" width="11.90625" style="107" customWidth="1"/>
    <col min="9968" max="9968" width="10.54296875" style="107" customWidth="1"/>
    <col min="9969" max="9969" width="13.36328125" style="107" customWidth="1"/>
    <col min="9970" max="9971" width="10.54296875" style="107" customWidth="1"/>
    <col min="9972" max="9972" width="10.6328125" style="107" customWidth="1"/>
    <col min="9973" max="9973" width="12.08984375" style="107" customWidth="1"/>
    <col min="9974" max="9977" width="10.54296875" style="107" customWidth="1"/>
    <col min="9978" max="9978" width="12.08984375" style="107" bestFit="1" customWidth="1"/>
    <col min="9979" max="9979" width="10.54296875" style="107" customWidth="1"/>
    <col min="9980" max="9980" width="11.36328125" style="107" customWidth="1"/>
    <col min="9981" max="9981" width="14.36328125" style="107" bestFit="1" customWidth="1"/>
    <col min="9982" max="10217" width="8.90625" style="107"/>
    <col min="10218" max="10218" width="7.6328125" style="107" customWidth="1"/>
    <col min="10219" max="10219" width="12.54296875" style="107" customWidth="1"/>
    <col min="10220" max="10220" width="9.36328125" style="107" customWidth="1"/>
    <col min="10221" max="10221" width="9.90625" style="107" customWidth="1"/>
    <col min="10222" max="10222" width="10.36328125" style="107" bestFit="1" customWidth="1"/>
    <col min="10223" max="10223" width="11.90625" style="107" customWidth="1"/>
    <col min="10224" max="10224" width="10.54296875" style="107" customWidth="1"/>
    <col min="10225" max="10225" width="13.36328125" style="107" customWidth="1"/>
    <col min="10226" max="10227" width="10.54296875" style="107" customWidth="1"/>
    <col min="10228" max="10228" width="10.6328125" style="107" customWidth="1"/>
    <col min="10229" max="10229" width="12.08984375" style="107" customWidth="1"/>
    <col min="10230" max="10233" width="10.54296875" style="107" customWidth="1"/>
    <col min="10234" max="10234" width="12.08984375" style="107" bestFit="1" customWidth="1"/>
    <col min="10235" max="10235" width="10.54296875" style="107" customWidth="1"/>
    <col min="10236" max="10236" width="11.36328125" style="107" customWidth="1"/>
    <col min="10237" max="10237" width="14.36328125" style="107" bestFit="1" customWidth="1"/>
    <col min="10238" max="10473" width="8.90625" style="107"/>
    <col min="10474" max="10474" width="7.6328125" style="107" customWidth="1"/>
    <col min="10475" max="10475" width="12.54296875" style="107" customWidth="1"/>
    <col min="10476" max="10476" width="9.36328125" style="107" customWidth="1"/>
    <col min="10477" max="10477" width="9.90625" style="107" customWidth="1"/>
    <col min="10478" max="10478" width="10.36328125" style="107" bestFit="1" customWidth="1"/>
    <col min="10479" max="10479" width="11.90625" style="107" customWidth="1"/>
    <col min="10480" max="10480" width="10.54296875" style="107" customWidth="1"/>
    <col min="10481" max="10481" width="13.36328125" style="107" customWidth="1"/>
    <col min="10482" max="10483" width="10.54296875" style="107" customWidth="1"/>
    <col min="10484" max="10484" width="10.6328125" style="107" customWidth="1"/>
    <col min="10485" max="10485" width="12.08984375" style="107" customWidth="1"/>
    <col min="10486" max="10489" width="10.54296875" style="107" customWidth="1"/>
    <col min="10490" max="10490" width="12.08984375" style="107" bestFit="1" customWidth="1"/>
    <col min="10491" max="10491" width="10.54296875" style="107" customWidth="1"/>
    <col min="10492" max="10492" width="11.36328125" style="107" customWidth="1"/>
    <col min="10493" max="10493" width="14.36328125" style="107" bestFit="1" customWidth="1"/>
    <col min="10494" max="10729" width="8.90625" style="107"/>
    <col min="10730" max="10730" width="7.6328125" style="107" customWidth="1"/>
    <col min="10731" max="10731" width="12.54296875" style="107" customWidth="1"/>
    <col min="10732" max="10732" width="9.36328125" style="107" customWidth="1"/>
    <col min="10733" max="10733" width="9.90625" style="107" customWidth="1"/>
    <col min="10734" max="10734" width="10.36328125" style="107" bestFit="1" customWidth="1"/>
    <col min="10735" max="10735" width="11.90625" style="107" customWidth="1"/>
    <col min="10736" max="10736" width="10.54296875" style="107" customWidth="1"/>
    <col min="10737" max="10737" width="13.36328125" style="107" customWidth="1"/>
    <col min="10738" max="10739" width="10.54296875" style="107" customWidth="1"/>
    <col min="10740" max="10740" width="10.6328125" style="107" customWidth="1"/>
    <col min="10741" max="10741" width="12.08984375" style="107" customWidth="1"/>
    <col min="10742" max="10745" width="10.54296875" style="107" customWidth="1"/>
    <col min="10746" max="10746" width="12.08984375" style="107" bestFit="1" customWidth="1"/>
    <col min="10747" max="10747" width="10.54296875" style="107" customWidth="1"/>
    <col min="10748" max="10748" width="11.36328125" style="107" customWidth="1"/>
    <col min="10749" max="10749" width="14.36328125" style="107" bestFit="1" customWidth="1"/>
    <col min="10750" max="10985" width="8.90625" style="107"/>
    <col min="10986" max="10986" width="7.6328125" style="107" customWidth="1"/>
    <col min="10987" max="10987" width="12.54296875" style="107" customWidth="1"/>
    <col min="10988" max="10988" width="9.36328125" style="107" customWidth="1"/>
    <col min="10989" max="10989" width="9.90625" style="107" customWidth="1"/>
    <col min="10990" max="10990" width="10.36328125" style="107" bestFit="1" customWidth="1"/>
    <col min="10991" max="10991" width="11.90625" style="107" customWidth="1"/>
    <col min="10992" max="10992" width="10.54296875" style="107" customWidth="1"/>
    <col min="10993" max="10993" width="13.36328125" style="107" customWidth="1"/>
    <col min="10994" max="10995" width="10.54296875" style="107" customWidth="1"/>
    <col min="10996" max="10996" width="10.6328125" style="107" customWidth="1"/>
    <col min="10997" max="10997" width="12.08984375" style="107" customWidth="1"/>
    <col min="10998" max="11001" width="10.54296875" style="107" customWidth="1"/>
    <col min="11002" max="11002" width="12.08984375" style="107" bestFit="1" customWidth="1"/>
    <col min="11003" max="11003" width="10.54296875" style="107" customWidth="1"/>
    <col min="11004" max="11004" width="11.36328125" style="107" customWidth="1"/>
    <col min="11005" max="11005" width="14.36328125" style="107" bestFit="1" customWidth="1"/>
    <col min="11006" max="11241" width="8.90625" style="107"/>
    <col min="11242" max="11242" width="7.6328125" style="107" customWidth="1"/>
    <col min="11243" max="11243" width="12.54296875" style="107" customWidth="1"/>
    <col min="11244" max="11244" width="9.36328125" style="107" customWidth="1"/>
    <col min="11245" max="11245" width="9.90625" style="107" customWidth="1"/>
    <col min="11246" max="11246" width="10.36328125" style="107" bestFit="1" customWidth="1"/>
    <col min="11247" max="11247" width="11.90625" style="107" customWidth="1"/>
    <col min="11248" max="11248" width="10.54296875" style="107" customWidth="1"/>
    <col min="11249" max="11249" width="13.36328125" style="107" customWidth="1"/>
    <col min="11250" max="11251" width="10.54296875" style="107" customWidth="1"/>
    <col min="11252" max="11252" width="10.6328125" style="107" customWidth="1"/>
    <col min="11253" max="11253" width="12.08984375" style="107" customWidth="1"/>
    <col min="11254" max="11257" width="10.54296875" style="107" customWidth="1"/>
    <col min="11258" max="11258" width="12.08984375" style="107" bestFit="1" customWidth="1"/>
    <col min="11259" max="11259" width="10.54296875" style="107" customWidth="1"/>
    <col min="11260" max="11260" width="11.36328125" style="107" customWidth="1"/>
    <col min="11261" max="11261" width="14.36328125" style="107" bestFit="1" customWidth="1"/>
    <col min="11262" max="11497" width="8.90625" style="107"/>
    <col min="11498" max="11498" width="7.6328125" style="107" customWidth="1"/>
    <col min="11499" max="11499" width="12.54296875" style="107" customWidth="1"/>
    <col min="11500" max="11500" width="9.36328125" style="107" customWidth="1"/>
    <col min="11501" max="11501" width="9.90625" style="107" customWidth="1"/>
    <col min="11502" max="11502" width="10.36328125" style="107" bestFit="1" customWidth="1"/>
    <col min="11503" max="11503" width="11.90625" style="107" customWidth="1"/>
    <col min="11504" max="11504" width="10.54296875" style="107" customWidth="1"/>
    <col min="11505" max="11505" width="13.36328125" style="107" customWidth="1"/>
    <col min="11506" max="11507" width="10.54296875" style="107" customWidth="1"/>
    <col min="11508" max="11508" width="10.6328125" style="107" customWidth="1"/>
    <col min="11509" max="11509" width="12.08984375" style="107" customWidth="1"/>
    <col min="11510" max="11513" width="10.54296875" style="107" customWidth="1"/>
    <col min="11514" max="11514" width="12.08984375" style="107" bestFit="1" customWidth="1"/>
    <col min="11515" max="11515" width="10.54296875" style="107" customWidth="1"/>
    <col min="11516" max="11516" width="11.36328125" style="107" customWidth="1"/>
    <col min="11517" max="11517" width="14.36328125" style="107" bestFit="1" customWidth="1"/>
    <col min="11518" max="11753" width="8.90625" style="107"/>
    <col min="11754" max="11754" width="7.6328125" style="107" customWidth="1"/>
    <col min="11755" max="11755" width="12.54296875" style="107" customWidth="1"/>
    <col min="11756" max="11756" width="9.36328125" style="107" customWidth="1"/>
    <col min="11757" max="11757" width="9.90625" style="107" customWidth="1"/>
    <col min="11758" max="11758" width="10.36328125" style="107" bestFit="1" customWidth="1"/>
    <col min="11759" max="11759" width="11.90625" style="107" customWidth="1"/>
    <col min="11760" max="11760" width="10.54296875" style="107" customWidth="1"/>
    <col min="11761" max="11761" width="13.36328125" style="107" customWidth="1"/>
    <col min="11762" max="11763" width="10.54296875" style="107" customWidth="1"/>
    <col min="11764" max="11764" width="10.6328125" style="107" customWidth="1"/>
    <col min="11765" max="11765" width="12.08984375" style="107" customWidth="1"/>
    <col min="11766" max="11769" width="10.54296875" style="107" customWidth="1"/>
    <col min="11770" max="11770" width="12.08984375" style="107" bestFit="1" customWidth="1"/>
    <col min="11771" max="11771" width="10.54296875" style="107" customWidth="1"/>
    <col min="11772" max="11772" width="11.36328125" style="107" customWidth="1"/>
    <col min="11773" max="11773" width="14.36328125" style="107" bestFit="1" customWidth="1"/>
    <col min="11774" max="12009" width="8.90625" style="107"/>
    <col min="12010" max="12010" width="7.6328125" style="107" customWidth="1"/>
    <col min="12011" max="12011" width="12.54296875" style="107" customWidth="1"/>
    <col min="12012" max="12012" width="9.36328125" style="107" customWidth="1"/>
    <col min="12013" max="12013" width="9.90625" style="107" customWidth="1"/>
    <col min="12014" max="12014" width="10.36328125" style="107" bestFit="1" customWidth="1"/>
    <col min="12015" max="12015" width="11.90625" style="107" customWidth="1"/>
    <col min="12016" max="12016" width="10.54296875" style="107" customWidth="1"/>
    <col min="12017" max="12017" width="13.36328125" style="107" customWidth="1"/>
    <col min="12018" max="12019" width="10.54296875" style="107" customWidth="1"/>
    <col min="12020" max="12020" width="10.6328125" style="107" customWidth="1"/>
    <col min="12021" max="12021" width="12.08984375" style="107" customWidth="1"/>
    <col min="12022" max="12025" width="10.54296875" style="107" customWidth="1"/>
    <col min="12026" max="12026" width="12.08984375" style="107" bestFit="1" customWidth="1"/>
    <col min="12027" max="12027" width="10.54296875" style="107" customWidth="1"/>
    <col min="12028" max="12028" width="11.36328125" style="107" customWidth="1"/>
    <col min="12029" max="12029" width="14.36328125" style="107" bestFit="1" customWidth="1"/>
    <col min="12030" max="12265" width="8.90625" style="107"/>
    <col min="12266" max="12266" width="7.6328125" style="107" customWidth="1"/>
    <col min="12267" max="12267" width="12.54296875" style="107" customWidth="1"/>
    <col min="12268" max="12268" width="9.36328125" style="107" customWidth="1"/>
    <col min="12269" max="12269" width="9.90625" style="107" customWidth="1"/>
    <col min="12270" max="12270" width="10.36328125" style="107" bestFit="1" customWidth="1"/>
    <col min="12271" max="12271" width="11.90625" style="107" customWidth="1"/>
    <col min="12272" max="12272" width="10.54296875" style="107" customWidth="1"/>
    <col min="12273" max="12273" width="13.36328125" style="107" customWidth="1"/>
    <col min="12274" max="12275" width="10.54296875" style="107" customWidth="1"/>
    <col min="12276" max="12276" width="10.6328125" style="107" customWidth="1"/>
    <col min="12277" max="12277" width="12.08984375" style="107" customWidth="1"/>
    <col min="12278" max="12281" width="10.54296875" style="107" customWidth="1"/>
    <col min="12282" max="12282" width="12.08984375" style="107" bestFit="1" customWidth="1"/>
    <col min="12283" max="12283" width="10.54296875" style="107" customWidth="1"/>
    <col min="12284" max="12284" width="11.36328125" style="107" customWidth="1"/>
    <col min="12285" max="12285" width="14.36328125" style="107" bestFit="1" customWidth="1"/>
    <col min="12286" max="12521" width="8.90625" style="107"/>
    <col min="12522" max="12522" width="7.6328125" style="107" customWidth="1"/>
    <col min="12523" max="12523" width="12.54296875" style="107" customWidth="1"/>
    <col min="12524" max="12524" width="9.36328125" style="107" customWidth="1"/>
    <col min="12525" max="12525" width="9.90625" style="107" customWidth="1"/>
    <col min="12526" max="12526" width="10.36328125" style="107" bestFit="1" customWidth="1"/>
    <col min="12527" max="12527" width="11.90625" style="107" customWidth="1"/>
    <col min="12528" max="12528" width="10.54296875" style="107" customWidth="1"/>
    <col min="12529" max="12529" width="13.36328125" style="107" customWidth="1"/>
    <col min="12530" max="12531" width="10.54296875" style="107" customWidth="1"/>
    <col min="12532" max="12532" width="10.6328125" style="107" customWidth="1"/>
    <col min="12533" max="12533" width="12.08984375" style="107" customWidth="1"/>
    <col min="12534" max="12537" width="10.54296875" style="107" customWidth="1"/>
    <col min="12538" max="12538" width="12.08984375" style="107" bestFit="1" customWidth="1"/>
    <col min="12539" max="12539" width="10.54296875" style="107" customWidth="1"/>
    <col min="12540" max="12540" width="11.36328125" style="107" customWidth="1"/>
    <col min="12541" max="12541" width="14.36328125" style="107" bestFit="1" customWidth="1"/>
    <col min="12542" max="12777" width="8.90625" style="107"/>
    <col min="12778" max="12778" width="7.6328125" style="107" customWidth="1"/>
    <col min="12779" max="12779" width="12.54296875" style="107" customWidth="1"/>
    <col min="12780" max="12780" width="9.36328125" style="107" customWidth="1"/>
    <col min="12781" max="12781" width="9.90625" style="107" customWidth="1"/>
    <col min="12782" max="12782" width="10.36328125" style="107" bestFit="1" customWidth="1"/>
    <col min="12783" max="12783" width="11.90625" style="107" customWidth="1"/>
    <col min="12784" max="12784" width="10.54296875" style="107" customWidth="1"/>
    <col min="12785" max="12785" width="13.36328125" style="107" customWidth="1"/>
    <col min="12786" max="12787" width="10.54296875" style="107" customWidth="1"/>
    <col min="12788" max="12788" width="10.6328125" style="107" customWidth="1"/>
    <col min="12789" max="12789" width="12.08984375" style="107" customWidth="1"/>
    <col min="12790" max="12793" width="10.54296875" style="107" customWidth="1"/>
    <col min="12794" max="12794" width="12.08984375" style="107" bestFit="1" customWidth="1"/>
    <col min="12795" max="12795" width="10.54296875" style="107" customWidth="1"/>
    <col min="12796" max="12796" width="11.36328125" style="107" customWidth="1"/>
    <col min="12797" max="12797" width="14.36328125" style="107" bestFit="1" customWidth="1"/>
    <col min="12798" max="13033" width="8.90625" style="107"/>
    <col min="13034" max="13034" width="7.6328125" style="107" customWidth="1"/>
    <col min="13035" max="13035" width="12.54296875" style="107" customWidth="1"/>
    <col min="13036" max="13036" width="9.36328125" style="107" customWidth="1"/>
    <col min="13037" max="13037" width="9.90625" style="107" customWidth="1"/>
    <col min="13038" max="13038" width="10.36328125" style="107" bestFit="1" customWidth="1"/>
    <col min="13039" max="13039" width="11.90625" style="107" customWidth="1"/>
    <col min="13040" max="13040" width="10.54296875" style="107" customWidth="1"/>
    <col min="13041" max="13041" width="13.36328125" style="107" customWidth="1"/>
    <col min="13042" max="13043" width="10.54296875" style="107" customWidth="1"/>
    <col min="13044" max="13044" width="10.6328125" style="107" customWidth="1"/>
    <col min="13045" max="13045" width="12.08984375" style="107" customWidth="1"/>
    <col min="13046" max="13049" width="10.54296875" style="107" customWidth="1"/>
    <col min="13050" max="13050" width="12.08984375" style="107" bestFit="1" customWidth="1"/>
    <col min="13051" max="13051" width="10.54296875" style="107" customWidth="1"/>
    <col min="13052" max="13052" width="11.36328125" style="107" customWidth="1"/>
    <col min="13053" max="13053" width="14.36328125" style="107" bestFit="1" customWidth="1"/>
    <col min="13054" max="13289" width="8.90625" style="107"/>
    <col min="13290" max="13290" width="7.6328125" style="107" customWidth="1"/>
    <col min="13291" max="13291" width="12.54296875" style="107" customWidth="1"/>
    <col min="13292" max="13292" width="9.36328125" style="107" customWidth="1"/>
    <col min="13293" max="13293" width="9.90625" style="107" customWidth="1"/>
    <col min="13294" max="13294" width="10.36328125" style="107" bestFit="1" customWidth="1"/>
    <col min="13295" max="13295" width="11.90625" style="107" customWidth="1"/>
    <col min="13296" max="13296" width="10.54296875" style="107" customWidth="1"/>
    <col min="13297" max="13297" width="13.36328125" style="107" customWidth="1"/>
    <col min="13298" max="13299" width="10.54296875" style="107" customWidth="1"/>
    <col min="13300" max="13300" width="10.6328125" style="107" customWidth="1"/>
    <col min="13301" max="13301" width="12.08984375" style="107" customWidth="1"/>
    <col min="13302" max="13305" width="10.54296875" style="107" customWidth="1"/>
    <col min="13306" max="13306" width="12.08984375" style="107" bestFit="1" customWidth="1"/>
    <col min="13307" max="13307" width="10.54296875" style="107" customWidth="1"/>
    <col min="13308" max="13308" width="11.36328125" style="107" customWidth="1"/>
    <col min="13309" max="13309" width="14.36328125" style="107" bestFit="1" customWidth="1"/>
    <col min="13310" max="13545" width="8.90625" style="107"/>
    <col min="13546" max="13546" width="7.6328125" style="107" customWidth="1"/>
    <col min="13547" max="13547" width="12.54296875" style="107" customWidth="1"/>
    <col min="13548" max="13548" width="9.36328125" style="107" customWidth="1"/>
    <col min="13549" max="13549" width="9.90625" style="107" customWidth="1"/>
    <col min="13550" max="13550" width="10.36328125" style="107" bestFit="1" customWidth="1"/>
    <col min="13551" max="13551" width="11.90625" style="107" customWidth="1"/>
    <col min="13552" max="13552" width="10.54296875" style="107" customWidth="1"/>
    <col min="13553" max="13553" width="13.36328125" style="107" customWidth="1"/>
    <col min="13554" max="13555" width="10.54296875" style="107" customWidth="1"/>
    <col min="13556" max="13556" width="10.6328125" style="107" customWidth="1"/>
    <col min="13557" max="13557" width="12.08984375" style="107" customWidth="1"/>
    <col min="13558" max="13561" width="10.54296875" style="107" customWidth="1"/>
    <col min="13562" max="13562" width="12.08984375" style="107" bestFit="1" customWidth="1"/>
    <col min="13563" max="13563" width="10.54296875" style="107" customWidth="1"/>
    <col min="13564" max="13564" width="11.36328125" style="107" customWidth="1"/>
    <col min="13565" max="13565" width="14.36328125" style="107" bestFit="1" customWidth="1"/>
    <col min="13566" max="13801" width="8.90625" style="107"/>
    <col min="13802" max="13802" width="7.6328125" style="107" customWidth="1"/>
    <col min="13803" max="13803" width="12.54296875" style="107" customWidth="1"/>
    <col min="13804" max="13804" width="9.36328125" style="107" customWidth="1"/>
    <col min="13805" max="13805" width="9.90625" style="107" customWidth="1"/>
    <col min="13806" max="13806" width="10.36328125" style="107" bestFit="1" customWidth="1"/>
    <col min="13807" max="13807" width="11.90625" style="107" customWidth="1"/>
    <col min="13808" max="13808" width="10.54296875" style="107" customWidth="1"/>
    <col min="13809" max="13809" width="13.36328125" style="107" customWidth="1"/>
    <col min="13810" max="13811" width="10.54296875" style="107" customWidth="1"/>
    <col min="13812" max="13812" width="10.6328125" style="107" customWidth="1"/>
    <col min="13813" max="13813" width="12.08984375" style="107" customWidth="1"/>
    <col min="13814" max="13817" width="10.54296875" style="107" customWidth="1"/>
    <col min="13818" max="13818" width="12.08984375" style="107" bestFit="1" customWidth="1"/>
    <col min="13819" max="13819" width="10.54296875" style="107" customWidth="1"/>
    <col min="13820" max="13820" width="11.36328125" style="107" customWidth="1"/>
    <col min="13821" max="13821" width="14.36328125" style="107" bestFit="1" customWidth="1"/>
    <col min="13822" max="14057" width="8.90625" style="107"/>
    <col min="14058" max="14058" width="7.6328125" style="107" customWidth="1"/>
    <col min="14059" max="14059" width="12.54296875" style="107" customWidth="1"/>
    <col min="14060" max="14060" width="9.36328125" style="107" customWidth="1"/>
    <col min="14061" max="14061" width="9.90625" style="107" customWidth="1"/>
    <col min="14062" max="14062" width="10.36328125" style="107" bestFit="1" customWidth="1"/>
    <col min="14063" max="14063" width="11.90625" style="107" customWidth="1"/>
    <col min="14064" max="14064" width="10.54296875" style="107" customWidth="1"/>
    <col min="14065" max="14065" width="13.36328125" style="107" customWidth="1"/>
    <col min="14066" max="14067" width="10.54296875" style="107" customWidth="1"/>
    <col min="14068" max="14068" width="10.6328125" style="107" customWidth="1"/>
    <col min="14069" max="14069" width="12.08984375" style="107" customWidth="1"/>
    <col min="14070" max="14073" width="10.54296875" style="107" customWidth="1"/>
    <col min="14074" max="14074" width="12.08984375" style="107" bestFit="1" customWidth="1"/>
    <col min="14075" max="14075" width="10.54296875" style="107" customWidth="1"/>
    <col min="14076" max="14076" width="11.36328125" style="107" customWidth="1"/>
    <col min="14077" max="14077" width="14.36328125" style="107" bestFit="1" customWidth="1"/>
    <col min="14078" max="14313" width="8.90625" style="107"/>
    <col min="14314" max="14314" width="7.6328125" style="107" customWidth="1"/>
    <col min="14315" max="14315" width="12.54296875" style="107" customWidth="1"/>
    <col min="14316" max="14316" width="9.36328125" style="107" customWidth="1"/>
    <col min="14317" max="14317" width="9.90625" style="107" customWidth="1"/>
    <col min="14318" max="14318" width="10.36328125" style="107" bestFit="1" customWidth="1"/>
    <col min="14319" max="14319" width="11.90625" style="107" customWidth="1"/>
    <col min="14320" max="14320" width="10.54296875" style="107" customWidth="1"/>
    <col min="14321" max="14321" width="13.36328125" style="107" customWidth="1"/>
    <col min="14322" max="14323" width="10.54296875" style="107" customWidth="1"/>
    <col min="14324" max="14324" width="10.6328125" style="107" customWidth="1"/>
    <col min="14325" max="14325" width="12.08984375" style="107" customWidth="1"/>
    <col min="14326" max="14329" width="10.54296875" style="107" customWidth="1"/>
    <col min="14330" max="14330" width="12.08984375" style="107" bestFit="1" customWidth="1"/>
    <col min="14331" max="14331" width="10.54296875" style="107" customWidth="1"/>
    <col min="14332" max="14332" width="11.36328125" style="107" customWidth="1"/>
    <col min="14333" max="14333" width="14.36328125" style="107" bestFit="1" customWidth="1"/>
    <col min="14334" max="14569" width="8.90625" style="107"/>
    <col min="14570" max="14570" width="7.6328125" style="107" customWidth="1"/>
    <col min="14571" max="14571" width="12.54296875" style="107" customWidth="1"/>
    <col min="14572" max="14572" width="9.36328125" style="107" customWidth="1"/>
    <col min="14573" max="14573" width="9.90625" style="107" customWidth="1"/>
    <col min="14574" max="14574" width="10.36328125" style="107" bestFit="1" customWidth="1"/>
    <col min="14575" max="14575" width="11.90625" style="107" customWidth="1"/>
    <col min="14576" max="14576" width="10.54296875" style="107" customWidth="1"/>
    <col min="14577" max="14577" width="13.36328125" style="107" customWidth="1"/>
    <col min="14578" max="14579" width="10.54296875" style="107" customWidth="1"/>
    <col min="14580" max="14580" width="10.6328125" style="107" customWidth="1"/>
    <col min="14581" max="14581" width="12.08984375" style="107" customWidth="1"/>
    <col min="14582" max="14585" width="10.54296875" style="107" customWidth="1"/>
    <col min="14586" max="14586" width="12.08984375" style="107" bestFit="1" customWidth="1"/>
    <col min="14587" max="14587" width="10.54296875" style="107" customWidth="1"/>
    <col min="14588" max="14588" width="11.36328125" style="107" customWidth="1"/>
    <col min="14589" max="14589" width="14.36328125" style="107" bestFit="1" customWidth="1"/>
    <col min="14590" max="14825" width="8.90625" style="107"/>
    <col min="14826" max="14826" width="7.6328125" style="107" customWidth="1"/>
    <col min="14827" max="14827" width="12.54296875" style="107" customWidth="1"/>
    <col min="14828" max="14828" width="9.36328125" style="107" customWidth="1"/>
    <col min="14829" max="14829" width="9.90625" style="107" customWidth="1"/>
    <col min="14830" max="14830" width="10.36328125" style="107" bestFit="1" customWidth="1"/>
    <col min="14831" max="14831" width="11.90625" style="107" customWidth="1"/>
    <col min="14832" max="14832" width="10.54296875" style="107" customWidth="1"/>
    <col min="14833" max="14833" width="13.36328125" style="107" customWidth="1"/>
    <col min="14834" max="14835" width="10.54296875" style="107" customWidth="1"/>
    <col min="14836" max="14836" width="10.6328125" style="107" customWidth="1"/>
    <col min="14837" max="14837" width="12.08984375" style="107" customWidth="1"/>
    <col min="14838" max="14841" width="10.54296875" style="107" customWidth="1"/>
    <col min="14842" max="14842" width="12.08984375" style="107" bestFit="1" customWidth="1"/>
    <col min="14843" max="14843" width="10.54296875" style="107" customWidth="1"/>
    <col min="14844" max="14844" width="11.36328125" style="107" customWidth="1"/>
    <col min="14845" max="14845" width="14.36328125" style="107" bestFit="1" customWidth="1"/>
    <col min="14846" max="15081" width="8.90625" style="107"/>
    <col min="15082" max="15082" width="7.6328125" style="107" customWidth="1"/>
    <col min="15083" max="15083" width="12.54296875" style="107" customWidth="1"/>
    <col min="15084" max="15084" width="9.36328125" style="107" customWidth="1"/>
    <col min="15085" max="15085" width="9.90625" style="107" customWidth="1"/>
    <col min="15086" max="15086" width="10.36328125" style="107" bestFit="1" customWidth="1"/>
    <col min="15087" max="15087" width="11.90625" style="107" customWidth="1"/>
    <col min="15088" max="15088" width="10.54296875" style="107" customWidth="1"/>
    <col min="15089" max="15089" width="13.36328125" style="107" customWidth="1"/>
    <col min="15090" max="15091" width="10.54296875" style="107" customWidth="1"/>
    <col min="15092" max="15092" width="10.6328125" style="107" customWidth="1"/>
    <col min="15093" max="15093" width="12.08984375" style="107" customWidth="1"/>
    <col min="15094" max="15097" width="10.54296875" style="107" customWidth="1"/>
    <col min="15098" max="15098" width="12.08984375" style="107" bestFit="1" customWidth="1"/>
    <col min="15099" max="15099" width="10.54296875" style="107" customWidth="1"/>
    <col min="15100" max="15100" width="11.36328125" style="107" customWidth="1"/>
    <col min="15101" max="15101" width="14.36328125" style="107" bestFit="1" customWidth="1"/>
    <col min="15102" max="15337" width="8.90625" style="107"/>
    <col min="15338" max="15338" width="7.6328125" style="107" customWidth="1"/>
    <col min="15339" max="15339" width="12.54296875" style="107" customWidth="1"/>
    <col min="15340" max="15340" width="9.36328125" style="107" customWidth="1"/>
    <col min="15341" max="15341" width="9.90625" style="107" customWidth="1"/>
    <col min="15342" max="15342" width="10.36328125" style="107" bestFit="1" customWidth="1"/>
    <col min="15343" max="15343" width="11.90625" style="107" customWidth="1"/>
    <col min="15344" max="15344" width="10.54296875" style="107" customWidth="1"/>
    <col min="15345" max="15345" width="13.36328125" style="107" customWidth="1"/>
    <col min="15346" max="15347" width="10.54296875" style="107" customWidth="1"/>
    <col min="15348" max="15348" width="10.6328125" style="107" customWidth="1"/>
    <col min="15349" max="15349" width="12.08984375" style="107" customWidth="1"/>
    <col min="15350" max="15353" width="10.54296875" style="107" customWidth="1"/>
    <col min="15354" max="15354" width="12.08984375" style="107" bestFit="1" customWidth="1"/>
    <col min="15355" max="15355" width="10.54296875" style="107" customWidth="1"/>
    <col min="15356" max="15356" width="11.36328125" style="107" customWidth="1"/>
    <col min="15357" max="15357" width="14.36328125" style="107" bestFit="1" customWidth="1"/>
    <col min="15358" max="15593" width="8.90625" style="107"/>
    <col min="15594" max="15594" width="7.6328125" style="107" customWidth="1"/>
    <col min="15595" max="15595" width="12.54296875" style="107" customWidth="1"/>
    <col min="15596" max="15596" width="9.36328125" style="107" customWidth="1"/>
    <col min="15597" max="15597" width="9.90625" style="107" customWidth="1"/>
    <col min="15598" max="15598" width="10.36328125" style="107" bestFit="1" customWidth="1"/>
    <col min="15599" max="15599" width="11.90625" style="107" customWidth="1"/>
    <col min="15600" max="15600" width="10.54296875" style="107" customWidth="1"/>
    <col min="15601" max="15601" width="13.36328125" style="107" customWidth="1"/>
    <col min="15602" max="15603" width="10.54296875" style="107" customWidth="1"/>
    <col min="15604" max="15604" width="10.6328125" style="107" customWidth="1"/>
    <col min="15605" max="15605" width="12.08984375" style="107" customWidth="1"/>
    <col min="15606" max="15609" width="10.54296875" style="107" customWidth="1"/>
    <col min="15610" max="15610" width="12.08984375" style="107" bestFit="1" customWidth="1"/>
    <col min="15611" max="15611" width="10.54296875" style="107" customWidth="1"/>
    <col min="15612" max="15612" width="11.36328125" style="107" customWidth="1"/>
    <col min="15613" max="15613" width="14.36328125" style="107" bestFit="1" customWidth="1"/>
    <col min="15614" max="15849" width="8.90625" style="107"/>
    <col min="15850" max="15850" width="7.6328125" style="107" customWidth="1"/>
    <col min="15851" max="15851" width="12.54296875" style="107" customWidth="1"/>
    <col min="15852" max="15852" width="9.36328125" style="107" customWidth="1"/>
    <col min="15853" max="15853" width="9.90625" style="107" customWidth="1"/>
    <col min="15854" max="15854" width="10.36328125" style="107" bestFit="1" customWidth="1"/>
    <col min="15855" max="15855" width="11.90625" style="107" customWidth="1"/>
    <col min="15856" max="15856" width="10.54296875" style="107" customWidth="1"/>
    <col min="15857" max="15857" width="13.36328125" style="107" customWidth="1"/>
    <col min="15858" max="15859" width="10.54296875" style="107" customWidth="1"/>
    <col min="15860" max="15860" width="10.6328125" style="107" customWidth="1"/>
    <col min="15861" max="15861" width="12.08984375" style="107" customWidth="1"/>
    <col min="15862" max="15865" width="10.54296875" style="107" customWidth="1"/>
    <col min="15866" max="15866" width="12.08984375" style="107" bestFit="1" customWidth="1"/>
    <col min="15867" max="15867" width="10.54296875" style="107" customWidth="1"/>
    <col min="15868" max="15868" width="11.36328125" style="107" customWidth="1"/>
    <col min="15869" max="15869" width="14.36328125" style="107" bestFit="1" customWidth="1"/>
    <col min="15870" max="16105" width="8.90625" style="107"/>
    <col min="16106" max="16106" width="7.6328125" style="107" customWidth="1"/>
    <col min="16107" max="16107" width="12.54296875" style="107" customWidth="1"/>
    <col min="16108" max="16108" width="9.36328125" style="107" customWidth="1"/>
    <col min="16109" max="16109" width="9.90625" style="107" customWidth="1"/>
    <col min="16110" max="16110" width="10.36328125" style="107" bestFit="1" customWidth="1"/>
    <col min="16111" max="16111" width="11.90625" style="107" customWidth="1"/>
    <col min="16112" max="16112" width="10.54296875" style="107" customWidth="1"/>
    <col min="16113" max="16113" width="13.36328125" style="107" customWidth="1"/>
    <col min="16114" max="16115" width="10.54296875" style="107" customWidth="1"/>
    <col min="16116" max="16116" width="10.6328125" style="107" customWidth="1"/>
    <col min="16117" max="16117" width="12.08984375" style="107" customWidth="1"/>
    <col min="16118" max="16121" width="10.54296875" style="107" customWidth="1"/>
    <col min="16122" max="16122" width="12.08984375" style="107" bestFit="1" customWidth="1"/>
    <col min="16123" max="16123" width="10.54296875" style="107" customWidth="1"/>
    <col min="16124" max="16124" width="11.36328125" style="107" customWidth="1"/>
    <col min="16125" max="16125" width="14.36328125" style="107" bestFit="1" customWidth="1"/>
    <col min="16126" max="16363" width="8.90625" style="107"/>
    <col min="16364" max="16384" width="9.08984375" style="107" customWidth="1"/>
  </cols>
  <sheetData>
    <row r="1" spans="1:10" s="106" customFormat="1" ht="50.4" customHeight="1" thickBot="1">
      <c r="A1" s="181"/>
      <c r="B1" s="181"/>
      <c r="C1" s="181"/>
      <c r="D1" s="181"/>
      <c r="E1" s="181"/>
      <c r="F1" s="181"/>
      <c r="G1" s="181"/>
    </row>
    <row r="2" spans="1:10" ht="33.65" customHeight="1" thickBot="1">
      <c r="A2" s="77" t="s">
        <v>9</v>
      </c>
      <c r="B2" s="47" t="s">
        <v>10</v>
      </c>
      <c r="C2" s="78" t="s">
        <v>87</v>
      </c>
      <c r="D2" s="79" t="s">
        <v>14</v>
      </c>
      <c r="E2" s="79" t="s">
        <v>8</v>
      </c>
      <c r="F2" s="79" t="s">
        <v>11</v>
      </c>
      <c r="G2" s="79" t="s">
        <v>13</v>
      </c>
      <c r="H2" s="106"/>
      <c r="I2" s="106"/>
      <c r="J2" s="106"/>
    </row>
    <row r="3" spans="1:10" ht="30" customHeight="1">
      <c r="A3" s="108">
        <v>1</v>
      </c>
      <c r="B3" s="109">
        <v>46359</v>
      </c>
      <c r="C3" s="92">
        <v>259801</v>
      </c>
      <c r="D3" s="92">
        <v>5460455</v>
      </c>
      <c r="E3" s="110">
        <v>53.4</v>
      </c>
      <c r="F3" s="111" t="s">
        <v>88</v>
      </c>
      <c r="G3" s="112" t="s">
        <v>89</v>
      </c>
      <c r="H3" s="106"/>
      <c r="I3" s="106"/>
      <c r="J3" s="106"/>
    </row>
    <row r="4" spans="1:10" ht="30" customHeight="1">
      <c r="A4" s="113">
        <v>2</v>
      </c>
      <c r="B4" s="48">
        <v>46359</v>
      </c>
      <c r="C4" s="94">
        <v>259802</v>
      </c>
      <c r="D4" s="94">
        <v>5461824</v>
      </c>
      <c r="E4" s="114">
        <v>53.5</v>
      </c>
      <c r="F4" s="115" t="s">
        <v>88</v>
      </c>
      <c r="G4" s="116" t="s">
        <v>89</v>
      </c>
      <c r="H4" s="106"/>
      <c r="I4" s="106"/>
      <c r="J4" s="106"/>
    </row>
    <row r="5" spans="1:10" ht="30" customHeight="1">
      <c r="A5" s="113">
        <v>3</v>
      </c>
      <c r="B5" s="48">
        <v>46359</v>
      </c>
      <c r="C5" s="94">
        <v>259803</v>
      </c>
      <c r="D5" s="94">
        <v>5461938</v>
      </c>
      <c r="E5" s="114">
        <v>53.4</v>
      </c>
      <c r="F5" s="115" t="s">
        <v>88</v>
      </c>
      <c r="G5" s="116" t="s">
        <v>89</v>
      </c>
      <c r="H5" s="106"/>
      <c r="I5" s="106"/>
      <c r="J5" s="106"/>
    </row>
    <row r="6" spans="1:10" ht="30" customHeight="1">
      <c r="A6" s="113">
        <v>4</v>
      </c>
      <c r="B6" s="48">
        <v>46359</v>
      </c>
      <c r="C6" s="94">
        <v>259804</v>
      </c>
      <c r="D6" s="94">
        <v>5461144</v>
      </c>
      <c r="E6" s="114">
        <v>51.6</v>
      </c>
      <c r="F6" s="115" t="s">
        <v>88</v>
      </c>
      <c r="G6" s="116" t="s">
        <v>89</v>
      </c>
      <c r="H6" s="106"/>
      <c r="I6" s="106"/>
      <c r="J6" s="106"/>
    </row>
    <row r="7" spans="1:10" ht="30" customHeight="1">
      <c r="A7" s="113">
        <v>5</v>
      </c>
      <c r="B7" s="48">
        <v>46359</v>
      </c>
      <c r="C7" s="94">
        <v>259805</v>
      </c>
      <c r="D7" s="94">
        <v>5460868</v>
      </c>
      <c r="E7" s="114">
        <v>53.4</v>
      </c>
      <c r="F7" s="115" t="s">
        <v>88</v>
      </c>
      <c r="G7" s="116" t="s">
        <v>89</v>
      </c>
      <c r="H7" s="106"/>
      <c r="I7" s="106"/>
      <c r="J7" s="106"/>
    </row>
    <row r="8" spans="1:10" ht="30" customHeight="1">
      <c r="A8" s="113">
        <v>6</v>
      </c>
      <c r="B8" s="48">
        <v>46359</v>
      </c>
      <c r="C8" s="94">
        <v>259806</v>
      </c>
      <c r="D8" s="94">
        <v>5460641</v>
      </c>
      <c r="E8" s="114">
        <v>51.6</v>
      </c>
      <c r="F8" s="115" t="s">
        <v>88</v>
      </c>
      <c r="G8" s="116" t="s">
        <v>89</v>
      </c>
      <c r="H8" s="106"/>
      <c r="I8" s="106"/>
      <c r="J8" s="106"/>
    </row>
    <row r="9" spans="1:10" ht="30" customHeight="1">
      <c r="A9" s="113">
        <v>7</v>
      </c>
      <c r="B9" s="48">
        <v>46359</v>
      </c>
      <c r="C9" s="94">
        <v>427001</v>
      </c>
      <c r="D9" s="94">
        <v>5461105</v>
      </c>
      <c r="E9" s="114">
        <v>50.9</v>
      </c>
      <c r="F9" s="115" t="s">
        <v>88</v>
      </c>
      <c r="G9" s="116" t="s">
        <v>89</v>
      </c>
      <c r="H9" s="106"/>
      <c r="I9" s="106"/>
      <c r="J9" s="106"/>
    </row>
    <row r="10" spans="1:10" ht="30" customHeight="1">
      <c r="A10" s="113">
        <v>8</v>
      </c>
      <c r="B10" s="48">
        <v>46359</v>
      </c>
      <c r="C10" s="94">
        <v>427002</v>
      </c>
      <c r="D10" s="94">
        <v>5460462</v>
      </c>
      <c r="E10" s="114">
        <v>53.4</v>
      </c>
      <c r="F10" s="115" t="s">
        <v>88</v>
      </c>
      <c r="G10" s="116" t="s">
        <v>89</v>
      </c>
      <c r="H10" s="106"/>
      <c r="I10" s="106"/>
      <c r="J10" s="106"/>
    </row>
    <row r="11" spans="1:10" ht="30" customHeight="1">
      <c r="A11" s="113">
        <v>9</v>
      </c>
      <c r="B11" s="48">
        <v>46359</v>
      </c>
      <c r="C11" s="94">
        <v>427003</v>
      </c>
      <c r="D11" s="94">
        <v>5460277</v>
      </c>
      <c r="E11" s="114">
        <v>52.8</v>
      </c>
      <c r="F11" s="115" t="s">
        <v>88</v>
      </c>
      <c r="G11" s="116" t="s">
        <v>89</v>
      </c>
      <c r="H11" s="106"/>
      <c r="I11" s="106"/>
      <c r="J11" s="106"/>
    </row>
    <row r="12" spans="1:10" ht="30" customHeight="1">
      <c r="A12" s="113">
        <v>10</v>
      </c>
      <c r="B12" s="48">
        <v>46359</v>
      </c>
      <c r="C12" s="94">
        <v>427005</v>
      </c>
      <c r="D12" s="94">
        <v>5460601</v>
      </c>
      <c r="E12" s="114">
        <v>52.9</v>
      </c>
      <c r="F12" s="115" t="s">
        <v>88</v>
      </c>
      <c r="G12" s="116" t="s">
        <v>89</v>
      </c>
      <c r="H12" s="106"/>
      <c r="I12" s="106"/>
      <c r="J12" s="106"/>
    </row>
    <row r="13" spans="1:10" ht="30" customHeight="1">
      <c r="A13" s="113">
        <v>11</v>
      </c>
      <c r="B13" s="48">
        <v>46359</v>
      </c>
      <c r="C13" s="94">
        <v>427006</v>
      </c>
      <c r="D13" s="94">
        <v>5461817</v>
      </c>
      <c r="E13" s="114">
        <v>52.2</v>
      </c>
      <c r="F13" s="115" t="s">
        <v>88</v>
      </c>
      <c r="G13" s="116" t="s">
        <v>89</v>
      </c>
      <c r="H13" s="106"/>
      <c r="I13" s="106"/>
      <c r="J13" s="106"/>
    </row>
    <row r="14" spans="1:10" ht="30" customHeight="1">
      <c r="A14" s="113">
        <v>12</v>
      </c>
      <c r="B14" s="48">
        <v>46359</v>
      </c>
      <c r="C14" s="94">
        <v>427008</v>
      </c>
      <c r="D14" s="94">
        <v>5461297</v>
      </c>
      <c r="E14" s="114">
        <v>53.7</v>
      </c>
      <c r="F14" s="115" t="s">
        <v>88</v>
      </c>
      <c r="G14" s="116" t="s">
        <v>89</v>
      </c>
      <c r="H14" s="106"/>
      <c r="I14" s="106"/>
      <c r="J14" s="106"/>
    </row>
    <row r="15" spans="1:10" ht="30" customHeight="1">
      <c r="A15" s="113">
        <v>13</v>
      </c>
      <c r="B15" s="48">
        <v>46359</v>
      </c>
      <c r="C15" s="94">
        <v>259464</v>
      </c>
      <c r="D15" s="94">
        <v>559979</v>
      </c>
      <c r="E15" s="114">
        <v>49.1</v>
      </c>
      <c r="F15" s="115" t="s">
        <v>88</v>
      </c>
      <c r="G15" s="116" t="s">
        <v>89</v>
      </c>
      <c r="H15" s="106"/>
      <c r="I15" s="106"/>
      <c r="J15" s="106"/>
    </row>
    <row r="16" spans="1:10" ht="30" customHeight="1">
      <c r="A16" s="113">
        <v>14</v>
      </c>
      <c r="B16" s="48">
        <v>46359</v>
      </c>
      <c r="C16" s="94">
        <v>259463</v>
      </c>
      <c r="D16" s="94">
        <v>559566</v>
      </c>
      <c r="E16" s="114">
        <v>49.6</v>
      </c>
      <c r="F16" s="115" t="s">
        <v>88</v>
      </c>
      <c r="G16" s="116" t="s">
        <v>89</v>
      </c>
      <c r="H16" s="106"/>
      <c r="I16" s="106"/>
      <c r="J16" s="106"/>
    </row>
    <row r="17" spans="1:10" ht="30" customHeight="1">
      <c r="A17" s="113">
        <v>15</v>
      </c>
      <c r="B17" s="48">
        <v>46359</v>
      </c>
      <c r="C17" s="94">
        <v>259462</v>
      </c>
      <c r="D17" s="94">
        <v>5579872</v>
      </c>
      <c r="E17" s="114">
        <v>49.6</v>
      </c>
      <c r="F17" s="115" t="s">
        <v>88</v>
      </c>
      <c r="G17" s="116" t="s">
        <v>89</v>
      </c>
      <c r="H17" s="106"/>
      <c r="I17" s="106"/>
      <c r="J17" s="106"/>
    </row>
    <row r="18" spans="1:10" ht="30" customHeight="1">
      <c r="A18" s="113">
        <v>16</v>
      </c>
      <c r="B18" s="48">
        <v>46359</v>
      </c>
      <c r="C18" s="94">
        <v>259461</v>
      </c>
      <c r="D18" s="94">
        <v>5579986</v>
      </c>
      <c r="E18" s="114">
        <v>48.2</v>
      </c>
      <c r="F18" s="115" t="s">
        <v>88</v>
      </c>
      <c r="G18" s="116" t="s">
        <v>89</v>
      </c>
      <c r="H18" s="106"/>
      <c r="I18" s="106"/>
      <c r="J18" s="106"/>
    </row>
    <row r="19" spans="1:10" ht="30" customHeight="1">
      <c r="A19" s="113">
        <v>17</v>
      </c>
      <c r="B19" s="48">
        <v>46359</v>
      </c>
      <c r="C19" s="94">
        <v>259460</v>
      </c>
      <c r="D19" s="94">
        <v>5570364</v>
      </c>
      <c r="E19" s="114">
        <v>48.8</v>
      </c>
      <c r="F19" s="115" t="s">
        <v>88</v>
      </c>
      <c r="G19" s="116" t="s">
        <v>89</v>
      </c>
      <c r="H19" s="106"/>
      <c r="I19" s="106"/>
      <c r="J19" s="106"/>
    </row>
    <row r="20" spans="1:10" ht="30" customHeight="1">
      <c r="A20" s="113">
        <v>18</v>
      </c>
      <c r="B20" s="48">
        <v>46359</v>
      </c>
      <c r="C20" s="94">
        <v>259459</v>
      </c>
      <c r="D20" s="94">
        <v>5572319</v>
      </c>
      <c r="E20" s="114">
        <v>46.2</v>
      </c>
      <c r="F20" s="115" t="s">
        <v>88</v>
      </c>
      <c r="G20" s="116" t="s">
        <v>89</v>
      </c>
      <c r="H20" s="106"/>
      <c r="I20" s="106"/>
      <c r="J20" s="106"/>
    </row>
    <row r="21" spans="1:10" ht="30" customHeight="1">
      <c r="A21" s="113">
        <v>19</v>
      </c>
      <c r="B21" s="48">
        <v>46359</v>
      </c>
      <c r="C21" s="94">
        <v>259458</v>
      </c>
      <c r="D21" s="94">
        <v>5579922</v>
      </c>
      <c r="E21" s="114">
        <v>48.9</v>
      </c>
      <c r="F21" s="115" t="s">
        <v>88</v>
      </c>
      <c r="G21" s="116" t="s">
        <v>89</v>
      </c>
      <c r="H21" s="106"/>
      <c r="I21" s="106"/>
      <c r="J21" s="106"/>
    </row>
    <row r="22" spans="1:10" ht="30" customHeight="1">
      <c r="A22" s="113">
        <v>20</v>
      </c>
      <c r="B22" s="48">
        <v>46359</v>
      </c>
      <c r="C22" s="94">
        <v>259457</v>
      </c>
      <c r="D22" s="94">
        <v>5572148</v>
      </c>
      <c r="E22" s="114">
        <v>49.6</v>
      </c>
      <c r="F22" s="115" t="s">
        <v>88</v>
      </c>
      <c r="G22" s="116" t="s">
        <v>89</v>
      </c>
      <c r="H22" s="106"/>
      <c r="I22" s="106"/>
      <c r="J22" s="106"/>
    </row>
    <row r="23" spans="1:10" ht="30" customHeight="1" thickBot="1">
      <c r="A23" s="117"/>
      <c r="B23" s="50"/>
      <c r="C23" s="50"/>
      <c r="D23" s="50"/>
      <c r="E23" s="50"/>
      <c r="F23" s="50"/>
      <c r="G23" s="118"/>
      <c r="H23" s="106"/>
      <c r="I23" s="106"/>
      <c r="J23" s="106"/>
    </row>
    <row r="24" spans="1:10" ht="9.65" customHeight="1">
      <c r="A24" s="119"/>
      <c r="B24" s="119"/>
      <c r="C24" s="119"/>
      <c r="D24" s="119"/>
      <c r="E24" s="119"/>
      <c r="F24" s="119"/>
      <c r="G24" s="119"/>
      <c r="H24" s="106"/>
      <c r="I24" s="106"/>
      <c r="J24" s="106"/>
    </row>
    <row r="25" spans="1:10">
      <c r="A25" s="119"/>
      <c r="B25" s="119"/>
      <c r="C25" s="119"/>
      <c r="D25" s="119"/>
      <c r="E25" s="120">
        <f>SUM(E3:E24)</f>
        <v>1022.8000000000002</v>
      </c>
      <c r="F25" s="119"/>
      <c r="G25" s="119"/>
      <c r="H25" s="106"/>
      <c r="I25" s="106"/>
      <c r="J25" s="106"/>
    </row>
    <row r="26" spans="1:10">
      <c r="A26" s="119"/>
      <c r="B26" s="119"/>
      <c r="C26" s="119"/>
      <c r="D26" s="119"/>
      <c r="E26" s="107"/>
      <c r="F26" s="119"/>
      <c r="G26" s="119"/>
      <c r="H26" s="106"/>
      <c r="I26" s="106"/>
      <c r="J26" s="106"/>
    </row>
    <row r="27" spans="1:10">
      <c r="A27" s="119"/>
      <c r="B27" s="119"/>
      <c r="C27" s="119"/>
      <c r="D27" s="119"/>
      <c r="E27" s="119"/>
      <c r="F27" s="119"/>
      <c r="G27" s="119"/>
      <c r="H27" s="106"/>
      <c r="I27" s="106"/>
      <c r="J27" s="106"/>
    </row>
    <row r="28" spans="1:10">
      <c r="A28" s="119"/>
      <c r="B28" s="119"/>
      <c r="C28" s="119"/>
      <c r="D28" s="119"/>
      <c r="E28" s="119"/>
      <c r="F28" s="119"/>
      <c r="G28" s="119"/>
      <c r="H28" s="106"/>
      <c r="I28" s="106"/>
      <c r="J28" s="106"/>
    </row>
    <row r="29" spans="1:10">
      <c r="A29" s="119"/>
      <c r="B29" s="119"/>
      <c r="C29" s="119"/>
      <c r="D29" s="119"/>
      <c r="E29" s="119"/>
      <c r="F29" s="119"/>
      <c r="G29" s="119"/>
      <c r="H29" s="106"/>
      <c r="I29" s="106"/>
      <c r="J29" s="106"/>
    </row>
    <row r="30" spans="1:10">
      <c r="A30" s="119"/>
      <c r="B30" s="119"/>
      <c r="C30" s="119"/>
      <c r="D30" s="119"/>
      <c r="E30" s="119"/>
      <c r="F30" s="119"/>
      <c r="G30" s="119"/>
      <c r="H30" s="106"/>
      <c r="I30" s="106"/>
      <c r="J30" s="106"/>
    </row>
    <row r="31" spans="1:10">
      <c r="A31" s="119"/>
      <c r="B31" s="119"/>
      <c r="C31" s="119"/>
      <c r="D31" s="119"/>
      <c r="E31" s="119"/>
      <c r="F31" s="119"/>
      <c r="G31" s="119"/>
      <c r="H31" s="106"/>
      <c r="I31" s="106"/>
      <c r="J31" s="106"/>
    </row>
    <row r="32" spans="1:10">
      <c r="A32" s="119"/>
      <c r="B32" s="119"/>
      <c r="C32" s="119"/>
      <c r="D32" s="119"/>
      <c r="E32" s="119"/>
      <c r="F32" s="119"/>
      <c r="G32" s="119"/>
      <c r="H32" s="106"/>
      <c r="I32" s="106"/>
      <c r="J32" s="106"/>
    </row>
    <row r="33" spans="1:10">
      <c r="A33" s="119"/>
      <c r="B33" s="119"/>
      <c r="C33" s="119"/>
      <c r="D33" s="119"/>
      <c r="E33" s="119"/>
      <c r="F33" s="119"/>
      <c r="G33" s="119"/>
      <c r="H33" s="106"/>
      <c r="I33" s="106"/>
      <c r="J33" s="106"/>
    </row>
    <row r="34" spans="1:10">
      <c r="A34" s="119"/>
      <c r="B34" s="119"/>
      <c r="C34" s="119"/>
      <c r="D34" s="119"/>
      <c r="E34" s="119"/>
      <c r="F34" s="119"/>
      <c r="G34" s="119"/>
      <c r="H34" s="106"/>
      <c r="I34" s="106"/>
      <c r="J34" s="106"/>
    </row>
    <row r="35" spans="1:10">
      <c r="A35" s="119"/>
      <c r="B35" s="119"/>
      <c r="C35" s="119"/>
      <c r="D35" s="119"/>
      <c r="E35" s="119"/>
      <c r="F35" s="119"/>
      <c r="G35" s="119"/>
      <c r="H35" s="106"/>
      <c r="I35" s="106"/>
      <c r="J35" s="106"/>
    </row>
    <row r="36" spans="1:10">
      <c r="A36" s="119"/>
      <c r="B36" s="119"/>
      <c r="C36" s="119"/>
      <c r="D36" s="119"/>
      <c r="E36" s="119"/>
      <c r="F36" s="119"/>
      <c r="G36" s="119"/>
      <c r="H36" s="106"/>
      <c r="I36" s="106"/>
      <c r="J36" s="106"/>
    </row>
    <row r="37" spans="1:10">
      <c r="A37" s="119"/>
      <c r="B37" s="119"/>
      <c r="C37" s="119"/>
      <c r="D37" s="119"/>
      <c r="E37" s="119"/>
      <c r="F37" s="119"/>
      <c r="G37" s="119"/>
      <c r="H37" s="106"/>
      <c r="I37" s="106"/>
      <c r="J37" s="106"/>
    </row>
    <row r="38" spans="1:10">
      <c r="A38" s="119"/>
      <c r="B38" s="119"/>
      <c r="C38" s="119"/>
      <c r="D38" s="119"/>
      <c r="E38" s="119"/>
      <c r="F38" s="119"/>
      <c r="G38" s="119"/>
      <c r="H38" s="106"/>
      <c r="I38" s="106"/>
      <c r="J38" s="106"/>
    </row>
    <row r="39" spans="1:10">
      <c r="A39" s="119"/>
      <c r="B39" s="119"/>
      <c r="C39" s="119"/>
      <c r="D39" s="119"/>
      <c r="E39" s="119"/>
      <c r="F39" s="119"/>
      <c r="G39" s="119"/>
      <c r="H39" s="106"/>
      <c r="I39" s="106"/>
      <c r="J39" s="106"/>
    </row>
    <row r="40" spans="1:10">
      <c r="A40" s="119"/>
      <c r="B40" s="119"/>
      <c r="C40" s="119"/>
      <c r="D40" s="119"/>
      <c r="E40" s="119"/>
      <c r="F40" s="119"/>
      <c r="G40" s="119"/>
      <c r="H40" s="106"/>
      <c r="I40" s="106"/>
      <c r="J40" s="106"/>
    </row>
    <row r="41" spans="1:10">
      <c r="A41" s="119"/>
      <c r="B41" s="119"/>
      <c r="C41" s="119"/>
      <c r="D41" s="119"/>
      <c r="E41" s="119"/>
      <c r="F41" s="119"/>
      <c r="G41" s="119"/>
      <c r="H41" s="106"/>
      <c r="I41" s="106"/>
      <c r="J41" s="106"/>
    </row>
    <row r="42" spans="1:10">
      <c r="A42" s="119"/>
      <c r="B42" s="119"/>
      <c r="C42" s="119"/>
      <c r="D42" s="119"/>
      <c r="E42" s="119"/>
      <c r="F42" s="119"/>
      <c r="G42" s="119"/>
      <c r="H42" s="106"/>
      <c r="I42" s="106"/>
      <c r="J42" s="106"/>
    </row>
    <row r="43" spans="1:10">
      <c r="A43" s="119"/>
      <c r="B43" s="119"/>
      <c r="C43" s="119"/>
      <c r="D43" s="119"/>
      <c r="E43" s="119"/>
      <c r="F43" s="119"/>
      <c r="G43" s="119"/>
      <c r="H43" s="106"/>
      <c r="I43" s="106"/>
      <c r="J43" s="106"/>
    </row>
    <row r="44" spans="1:10">
      <c r="A44" s="119"/>
      <c r="B44" s="119"/>
      <c r="C44" s="119"/>
      <c r="D44" s="119"/>
      <c r="E44" s="119"/>
      <c r="F44" s="119"/>
      <c r="G44" s="119"/>
      <c r="H44" s="106"/>
      <c r="I44" s="106"/>
      <c r="J44" s="106"/>
    </row>
    <row r="45" spans="1:10">
      <c r="A45" s="119"/>
      <c r="B45" s="119"/>
      <c r="C45" s="119"/>
      <c r="D45" s="119"/>
      <c r="E45" s="119"/>
      <c r="F45" s="119"/>
      <c r="G45" s="119"/>
      <c r="H45" s="106"/>
      <c r="I45" s="106"/>
      <c r="J45" s="106"/>
    </row>
    <row r="46" spans="1:10">
      <c r="A46" s="119"/>
      <c r="B46" s="119"/>
      <c r="C46" s="119"/>
      <c r="D46" s="119"/>
      <c r="E46" s="119"/>
      <c r="F46" s="119"/>
      <c r="G46" s="119"/>
      <c r="H46" s="106"/>
      <c r="I46" s="106"/>
      <c r="J46" s="106"/>
    </row>
    <row r="47" spans="1:10">
      <c r="A47" s="119"/>
      <c r="B47" s="119"/>
      <c r="C47" s="119"/>
      <c r="D47" s="119"/>
      <c r="E47" s="119"/>
      <c r="F47" s="119"/>
      <c r="G47" s="119"/>
      <c r="H47" s="106"/>
      <c r="I47" s="106"/>
      <c r="J47" s="106"/>
    </row>
    <row r="48" spans="1:10">
      <c r="A48" s="119"/>
      <c r="B48" s="119"/>
      <c r="C48" s="119"/>
      <c r="D48" s="119"/>
      <c r="E48" s="119"/>
      <c r="F48" s="119"/>
      <c r="G48" s="119"/>
      <c r="H48" s="106"/>
      <c r="I48" s="106"/>
      <c r="J48" s="106"/>
    </row>
    <row r="49" spans="1:10">
      <c r="A49" s="119"/>
      <c r="B49" s="119"/>
      <c r="C49" s="119"/>
      <c r="D49" s="119"/>
      <c r="E49" s="119"/>
      <c r="F49" s="119"/>
      <c r="G49" s="119"/>
      <c r="H49" s="106"/>
      <c r="I49" s="106"/>
      <c r="J49" s="106"/>
    </row>
    <row r="50" spans="1:10">
      <c r="A50" s="119"/>
      <c r="B50" s="119"/>
      <c r="C50" s="119"/>
      <c r="D50" s="119"/>
      <c r="E50" s="119"/>
      <c r="F50" s="119"/>
      <c r="G50" s="119"/>
      <c r="H50" s="106"/>
      <c r="I50" s="106"/>
      <c r="J50" s="106"/>
    </row>
    <row r="51" spans="1:10">
      <c r="A51" s="119"/>
      <c r="B51" s="119"/>
      <c r="C51" s="119"/>
      <c r="D51" s="119"/>
      <c r="E51" s="119"/>
      <c r="F51" s="119"/>
      <c r="G51" s="119"/>
      <c r="H51" s="106"/>
      <c r="I51" s="106"/>
      <c r="J51" s="106"/>
    </row>
    <row r="52" spans="1:10">
      <c r="A52" s="119"/>
      <c r="B52" s="119"/>
      <c r="C52" s="119"/>
      <c r="D52" s="119"/>
      <c r="E52" s="119"/>
      <c r="F52" s="119"/>
      <c r="G52" s="119"/>
      <c r="H52" s="106"/>
      <c r="I52" s="106"/>
      <c r="J52" s="106"/>
    </row>
    <row r="53" spans="1:10">
      <c r="A53" s="119"/>
      <c r="B53" s="119"/>
      <c r="C53" s="119"/>
      <c r="D53" s="119"/>
      <c r="E53" s="119"/>
      <c r="F53" s="119"/>
      <c r="G53" s="119"/>
      <c r="H53" s="106"/>
      <c r="I53" s="106"/>
      <c r="J53" s="106"/>
    </row>
    <row r="54" spans="1:10">
      <c r="A54" s="119"/>
      <c r="B54" s="119"/>
      <c r="C54" s="119"/>
      <c r="D54" s="119"/>
      <c r="E54" s="119"/>
      <c r="F54" s="119"/>
      <c r="G54" s="119"/>
      <c r="H54" s="106"/>
      <c r="I54" s="106"/>
      <c r="J54" s="106"/>
    </row>
    <row r="55" spans="1:10">
      <c r="A55" s="119"/>
      <c r="B55" s="119"/>
      <c r="C55" s="119"/>
      <c r="D55" s="119"/>
      <c r="E55" s="119"/>
      <c r="F55" s="119"/>
      <c r="G55" s="119"/>
      <c r="H55" s="106"/>
      <c r="I55" s="106"/>
      <c r="J55" s="106"/>
    </row>
    <row r="56" spans="1:10">
      <c r="A56" s="119"/>
      <c r="B56" s="119"/>
      <c r="C56" s="119"/>
      <c r="D56" s="119"/>
      <c r="E56" s="119"/>
      <c r="F56" s="119"/>
      <c r="G56" s="119"/>
      <c r="H56" s="106"/>
      <c r="I56" s="106"/>
      <c r="J56" s="106"/>
    </row>
    <row r="57" spans="1:10">
      <c r="A57" s="119"/>
      <c r="B57" s="119"/>
      <c r="C57" s="119"/>
      <c r="D57" s="119"/>
      <c r="E57" s="119"/>
      <c r="F57" s="119"/>
      <c r="G57" s="119"/>
      <c r="H57" s="106"/>
      <c r="I57" s="106"/>
      <c r="J57" s="106"/>
    </row>
    <row r="58" spans="1:10">
      <c r="A58" s="119"/>
      <c r="B58" s="119"/>
      <c r="C58" s="119"/>
      <c r="D58" s="119"/>
      <c r="E58" s="119"/>
      <c r="F58" s="119"/>
      <c r="G58" s="119"/>
      <c r="H58" s="106"/>
      <c r="I58" s="106"/>
      <c r="J58" s="106"/>
    </row>
    <row r="59" spans="1:10">
      <c r="A59" s="119"/>
      <c r="B59" s="119"/>
      <c r="C59" s="119"/>
      <c r="D59" s="119"/>
      <c r="E59" s="119"/>
      <c r="F59" s="119"/>
      <c r="G59" s="119"/>
      <c r="H59" s="106"/>
      <c r="I59" s="106"/>
      <c r="J59" s="106"/>
    </row>
    <row r="60" spans="1:10">
      <c r="A60" s="119"/>
      <c r="B60" s="119"/>
      <c r="C60" s="119"/>
      <c r="D60" s="119"/>
      <c r="E60" s="119"/>
      <c r="F60" s="119"/>
      <c r="G60" s="119"/>
      <c r="H60" s="106"/>
      <c r="I60" s="106"/>
      <c r="J60" s="106"/>
    </row>
    <row r="61" spans="1:10">
      <c r="A61" s="119"/>
      <c r="B61" s="119"/>
      <c r="C61" s="119"/>
      <c r="D61" s="119"/>
      <c r="E61" s="119"/>
      <c r="F61" s="119"/>
      <c r="G61" s="119"/>
      <c r="H61" s="106"/>
      <c r="I61" s="106"/>
      <c r="J61" s="106"/>
    </row>
    <row r="62" spans="1:10">
      <c r="A62" s="119"/>
      <c r="B62" s="119"/>
      <c r="C62" s="119"/>
      <c r="D62" s="119"/>
      <c r="E62" s="119"/>
      <c r="F62" s="119"/>
      <c r="G62" s="119"/>
      <c r="H62" s="106"/>
      <c r="I62" s="106"/>
      <c r="J62" s="106"/>
    </row>
    <row r="63" spans="1:10">
      <c r="A63" s="119"/>
      <c r="B63" s="119"/>
      <c r="C63" s="119"/>
      <c r="D63" s="119"/>
      <c r="E63" s="119"/>
      <c r="F63" s="119"/>
      <c r="G63" s="119"/>
      <c r="H63" s="106"/>
      <c r="I63" s="106"/>
      <c r="J63" s="106"/>
    </row>
    <row r="64" spans="1:10">
      <c r="A64" s="119"/>
      <c r="B64" s="119"/>
      <c r="C64" s="119"/>
      <c r="D64" s="119"/>
      <c r="E64" s="119"/>
      <c r="F64" s="119"/>
      <c r="G64" s="119"/>
      <c r="H64" s="106"/>
      <c r="I64" s="106"/>
      <c r="J64" s="106"/>
    </row>
    <row r="65" spans="1:10">
      <c r="A65" s="119"/>
      <c r="B65" s="119"/>
      <c r="C65" s="119"/>
      <c r="D65" s="119"/>
      <c r="E65" s="119"/>
      <c r="F65" s="119"/>
      <c r="G65" s="119"/>
      <c r="H65" s="106"/>
      <c r="I65" s="106"/>
      <c r="J65" s="106"/>
    </row>
    <row r="66" spans="1:10">
      <c r="A66" s="119"/>
      <c r="B66" s="119"/>
      <c r="C66" s="119"/>
      <c r="D66" s="119"/>
      <c r="E66" s="119"/>
      <c r="F66" s="119"/>
      <c r="G66" s="119"/>
      <c r="H66" s="106"/>
      <c r="I66" s="106"/>
      <c r="J66" s="106"/>
    </row>
    <row r="67" spans="1:10">
      <c r="A67" s="119"/>
      <c r="B67" s="119"/>
      <c r="C67" s="119"/>
      <c r="D67" s="119"/>
      <c r="E67" s="119"/>
      <c r="F67" s="119"/>
      <c r="G67" s="119"/>
      <c r="H67" s="106"/>
      <c r="I67" s="106"/>
      <c r="J67" s="106"/>
    </row>
    <row r="68" spans="1:10">
      <c r="A68" s="119"/>
      <c r="B68" s="119"/>
      <c r="C68" s="119"/>
      <c r="D68" s="119"/>
      <c r="E68" s="119"/>
      <c r="F68" s="119"/>
      <c r="G68" s="119"/>
      <c r="H68" s="106"/>
      <c r="I68" s="106"/>
      <c r="J68" s="106"/>
    </row>
    <row r="69" spans="1:10">
      <c r="A69" s="119"/>
      <c r="B69" s="119"/>
      <c r="C69" s="119"/>
      <c r="D69" s="119"/>
      <c r="E69" s="119"/>
      <c r="F69" s="119"/>
      <c r="G69" s="119"/>
      <c r="H69" s="106"/>
      <c r="I69" s="106"/>
      <c r="J69" s="106"/>
    </row>
    <row r="70" spans="1:10">
      <c r="A70" s="119"/>
      <c r="B70" s="119"/>
      <c r="C70" s="119"/>
      <c r="D70" s="119"/>
      <c r="E70" s="119"/>
      <c r="F70" s="119"/>
      <c r="G70" s="119"/>
      <c r="H70" s="106"/>
      <c r="I70" s="106"/>
      <c r="J70" s="106"/>
    </row>
    <row r="71" spans="1:10">
      <c r="A71" s="119"/>
      <c r="B71" s="119"/>
      <c r="C71" s="119"/>
      <c r="D71" s="119"/>
      <c r="E71" s="119"/>
      <c r="F71" s="119"/>
      <c r="G71" s="119"/>
      <c r="H71" s="106"/>
      <c r="I71" s="106"/>
      <c r="J71" s="106"/>
    </row>
    <row r="72" spans="1:10">
      <c r="A72" s="119"/>
      <c r="B72" s="119"/>
      <c r="C72" s="119"/>
      <c r="D72" s="119"/>
      <c r="E72" s="119"/>
      <c r="F72" s="119"/>
      <c r="G72" s="119"/>
      <c r="H72" s="106"/>
      <c r="I72" s="106"/>
      <c r="J72" s="106"/>
    </row>
    <row r="73" spans="1:10">
      <c r="A73" s="119"/>
      <c r="B73" s="119"/>
      <c r="C73" s="119"/>
      <c r="D73" s="119"/>
      <c r="E73" s="119"/>
      <c r="F73" s="119"/>
      <c r="G73" s="119"/>
      <c r="H73" s="106"/>
      <c r="I73" s="106"/>
      <c r="J73" s="106"/>
    </row>
    <row r="74" spans="1:10">
      <c r="A74" s="119"/>
      <c r="B74" s="119"/>
      <c r="C74" s="119"/>
      <c r="D74" s="119"/>
      <c r="E74" s="119"/>
      <c r="F74" s="119"/>
      <c r="G74" s="119"/>
      <c r="H74" s="106"/>
      <c r="I74" s="106"/>
      <c r="J74" s="106"/>
    </row>
    <row r="75" spans="1:10">
      <c r="A75" s="119"/>
      <c r="B75" s="119"/>
      <c r="C75" s="119"/>
      <c r="D75" s="119"/>
      <c r="E75" s="119"/>
      <c r="F75" s="119"/>
      <c r="G75" s="119"/>
      <c r="H75" s="106"/>
      <c r="I75" s="106"/>
      <c r="J75" s="106"/>
    </row>
    <row r="76" spans="1:10">
      <c r="A76" s="119"/>
      <c r="B76" s="119"/>
      <c r="C76" s="119"/>
      <c r="D76" s="119"/>
      <c r="E76" s="119"/>
      <c r="F76" s="119"/>
      <c r="G76" s="119"/>
      <c r="H76" s="106"/>
      <c r="I76" s="106"/>
      <c r="J76" s="106"/>
    </row>
    <row r="77" spans="1:10">
      <c r="A77" s="119"/>
      <c r="B77" s="119"/>
      <c r="C77" s="119"/>
      <c r="D77" s="119"/>
      <c r="E77" s="119"/>
      <c r="F77" s="119"/>
      <c r="G77" s="119"/>
      <c r="H77" s="106"/>
      <c r="I77" s="106"/>
      <c r="J77" s="106"/>
    </row>
    <row r="78" spans="1:10">
      <c r="A78" s="119"/>
      <c r="B78" s="119"/>
      <c r="C78" s="119"/>
      <c r="D78" s="119"/>
      <c r="E78" s="119"/>
      <c r="F78" s="119"/>
      <c r="G78" s="119"/>
      <c r="H78" s="106"/>
      <c r="I78" s="106"/>
      <c r="J78" s="106"/>
    </row>
    <row r="79" spans="1:10">
      <c r="A79" s="119"/>
      <c r="B79" s="119"/>
      <c r="C79" s="119"/>
      <c r="D79" s="119"/>
      <c r="E79" s="119"/>
      <c r="F79" s="119"/>
      <c r="G79" s="119"/>
      <c r="H79" s="106"/>
      <c r="I79" s="106"/>
      <c r="J79" s="106"/>
    </row>
    <row r="80" spans="1:10">
      <c r="A80" s="119"/>
      <c r="B80" s="119"/>
      <c r="C80" s="119"/>
      <c r="D80" s="119"/>
      <c r="E80" s="119"/>
      <c r="F80" s="119"/>
      <c r="G80" s="119"/>
      <c r="H80" s="106"/>
      <c r="I80" s="106"/>
      <c r="J80" s="106"/>
    </row>
    <row r="81" spans="1:10">
      <c r="A81" s="119"/>
      <c r="B81" s="119"/>
      <c r="C81" s="119"/>
      <c r="D81" s="119"/>
      <c r="E81" s="119"/>
      <c r="F81" s="119"/>
      <c r="G81" s="119"/>
      <c r="H81" s="106"/>
      <c r="I81" s="106"/>
      <c r="J81" s="106"/>
    </row>
    <row r="82" spans="1:10">
      <c r="A82" s="119"/>
      <c r="B82" s="119"/>
      <c r="C82" s="119"/>
      <c r="D82" s="119"/>
      <c r="E82" s="119"/>
      <c r="F82" s="119"/>
      <c r="G82" s="119"/>
      <c r="H82" s="106"/>
      <c r="I82" s="106"/>
      <c r="J82" s="106"/>
    </row>
    <row r="83" spans="1:10">
      <c r="A83" s="119"/>
      <c r="B83" s="119"/>
      <c r="C83" s="119"/>
      <c r="D83" s="119"/>
      <c r="E83" s="119"/>
      <c r="F83" s="119"/>
      <c r="G83" s="119"/>
      <c r="H83" s="106"/>
      <c r="I83" s="106"/>
      <c r="J83" s="106"/>
    </row>
    <row r="84" spans="1:10">
      <c r="A84" s="119"/>
      <c r="B84" s="119"/>
      <c r="C84" s="119"/>
      <c r="D84" s="119"/>
      <c r="E84" s="119"/>
      <c r="F84" s="119"/>
      <c r="G84" s="119"/>
      <c r="H84" s="106"/>
      <c r="I84" s="106"/>
      <c r="J84" s="106"/>
    </row>
    <row r="85" spans="1:10">
      <c r="A85" s="119"/>
      <c r="B85" s="119"/>
      <c r="C85" s="119"/>
      <c r="D85" s="119"/>
      <c r="E85" s="119"/>
      <c r="F85" s="119"/>
      <c r="G85" s="119"/>
      <c r="H85" s="106"/>
      <c r="I85" s="106"/>
      <c r="J85" s="106"/>
    </row>
    <row r="86" spans="1:10">
      <c r="A86" s="119"/>
      <c r="B86" s="119"/>
      <c r="C86" s="119"/>
      <c r="D86" s="119"/>
      <c r="E86" s="119"/>
      <c r="F86" s="119"/>
      <c r="G86" s="119"/>
      <c r="H86" s="106"/>
      <c r="I86" s="106"/>
      <c r="J86" s="106"/>
    </row>
    <row r="87" spans="1:10">
      <c r="A87" s="119"/>
      <c r="B87" s="119"/>
      <c r="C87" s="119"/>
      <c r="D87" s="119"/>
      <c r="E87" s="119"/>
      <c r="F87" s="119"/>
      <c r="G87" s="119"/>
      <c r="H87" s="106"/>
      <c r="I87" s="106"/>
      <c r="J87" s="106"/>
    </row>
    <row r="88" spans="1:10">
      <c r="A88" s="119"/>
      <c r="B88" s="119"/>
      <c r="C88" s="119"/>
      <c r="D88" s="119"/>
      <c r="E88" s="119"/>
      <c r="F88" s="119"/>
      <c r="G88" s="119"/>
      <c r="H88" s="106"/>
      <c r="I88" s="106"/>
      <c r="J88" s="106"/>
    </row>
  </sheetData>
  <mergeCells count="1">
    <mergeCell ref="A1:G1"/>
  </mergeCells>
  <conditionalFormatting sqref="D1:D1048576">
    <cfRule type="duplicateValues" dxfId="40" priority="7"/>
    <cfRule type="duplicateValues" dxfId="39" priority="8"/>
  </conditionalFormatting>
  <conditionalFormatting sqref="D3:D22 C2:C1048576">
    <cfRule type="duplicateValues" dxfId="38" priority="188"/>
    <cfRule type="duplicateValues" dxfId="37" priority="189"/>
    <cfRule type="duplicateValues" dxfId="36" priority="190"/>
  </conditionalFormatting>
  <conditionalFormatting sqref="D23:D1048576 D2 A1">
    <cfRule type="duplicateValues" dxfId="35" priority="3"/>
  </conditionalFormatting>
  <conditionalFormatting sqref="I1:I1048576 D1:D1048576">
    <cfRule type="duplicateValues" dxfId="34" priority="1"/>
    <cfRule type="duplicateValues" dxfId="3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81E1-1B89-40CF-9608-371D3759BF91}">
  <dimension ref="A1:K120"/>
  <sheetViews>
    <sheetView rightToLeft="1" zoomScale="110" zoomScaleNormal="110" workbookViewId="0">
      <selection activeCell="I55" sqref="A1:I55"/>
    </sheetView>
  </sheetViews>
  <sheetFormatPr defaultRowHeight="15.5"/>
  <cols>
    <col min="1" max="1" width="5" style="16" customWidth="1"/>
    <col min="2" max="2" width="9.90625" style="16" customWidth="1"/>
    <col min="3" max="3" width="10.54296875" style="16" customWidth="1"/>
    <col min="4" max="4" width="12.6328125" style="16" customWidth="1"/>
    <col min="5" max="5" width="13.54296875" style="16" customWidth="1"/>
    <col min="6" max="7" width="14.1796875" style="16" customWidth="1"/>
    <col min="8" max="8" width="17.54296875" style="16" customWidth="1"/>
    <col min="9" max="9" width="8.90625" style="107"/>
    <col min="10" max="10" width="9.54296875" style="107" bestFit="1" customWidth="1"/>
    <col min="11" max="234" width="8.90625" style="107"/>
    <col min="235" max="235" width="7.6328125" style="107" customWidth="1"/>
    <col min="236" max="236" width="12.54296875" style="107" customWidth="1"/>
    <col min="237" max="237" width="9.36328125" style="107" customWidth="1"/>
    <col min="238" max="238" width="9.90625" style="107" customWidth="1"/>
    <col min="239" max="239" width="10.36328125" style="107" bestFit="1" customWidth="1"/>
    <col min="240" max="240" width="11.90625" style="107" customWidth="1"/>
    <col min="241" max="241" width="10.54296875" style="107" customWidth="1"/>
    <col min="242" max="242" width="13.36328125" style="107" customWidth="1"/>
    <col min="243" max="244" width="10.54296875" style="107" customWidth="1"/>
    <col min="245" max="245" width="10.6328125" style="107" customWidth="1"/>
    <col min="246" max="246" width="12.08984375" style="107" customWidth="1"/>
    <col min="247" max="250" width="10.54296875" style="107" customWidth="1"/>
    <col min="251" max="251" width="12.08984375" style="107" bestFit="1" customWidth="1"/>
    <col min="252" max="252" width="10.54296875" style="107" customWidth="1"/>
    <col min="253" max="253" width="11.36328125" style="107" customWidth="1"/>
    <col min="254" max="254" width="14.36328125" style="107" bestFit="1" customWidth="1"/>
    <col min="255" max="490" width="8.90625" style="107"/>
    <col min="491" max="491" width="7.6328125" style="107" customWidth="1"/>
    <col min="492" max="492" width="12.54296875" style="107" customWidth="1"/>
    <col min="493" max="493" width="9.36328125" style="107" customWidth="1"/>
    <col min="494" max="494" width="9.90625" style="107" customWidth="1"/>
    <col min="495" max="495" width="10.36328125" style="107" bestFit="1" customWidth="1"/>
    <col min="496" max="496" width="11.90625" style="107" customWidth="1"/>
    <col min="497" max="497" width="10.54296875" style="107" customWidth="1"/>
    <col min="498" max="498" width="13.36328125" style="107" customWidth="1"/>
    <col min="499" max="500" width="10.54296875" style="107" customWidth="1"/>
    <col min="501" max="501" width="10.6328125" style="107" customWidth="1"/>
    <col min="502" max="502" width="12.08984375" style="107" customWidth="1"/>
    <col min="503" max="506" width="10.54296875" style="107" customWidth="1"/>
    <col min="507" max="507" width="12.08984375" style="107" bestFit="1" customWidth="1"/>
    <col min="508" max="508" width="10.54296875" style="107" customWidth="1"/>
    <col min="509" max="509" width="11.36328125" style="107" customWidth="1"/>
    <col min="510" max="510" width="14.36328125" style="107" bestFit="1" customWidth="1"/>
    <col min="511" max="746" width="8.90625" style="107"/>
    <col min="747" max="747" width="7.6328125" style="107" customWidth="1"/>
    <col min="748" max="748" width="12.54296875" style="107" customWidth="1"/>
    <col min="749" max="749" width="9.36328125" style="107" customWidth="1"/>
    <col min="750" max="750" width="9.90625" style="107" customWidth="1"/>
    <col min="751" max="751" width="10.36328125" style="107" bestFit="1" customWidth="1"/>
    <col min="752" max="752" width="11.90625" style="107" customWidth="1"/>
    <col min="753" max="753" width="10.54296875" style="107" customWidth="1"/>
    <col min="754" max="754" width="13.36328125" style="107" customWidth="1"/>
    <col min="755" max="756" width="10.54296875" style="107" customWidth="1"/>
    <col min="757" max="757" width="10.6328125" style="107" customWidth="1"/>
    <col min="758" max="758" width="12.08984375" style="107" customWidth="1"/>
    <col min="759" max="762" width="10.54296875" style="107" customWidth="1"/>
    <col min="763" max="763" width="12.08984375" style="107" bestFit="1" customWidth="1"/>
    <col min="764" max="764" width="10.54296875" style="107" customWidth="1"/>
    <col min="765" max="765" width="11.36328125" style="107" customWidth="1"/>
    <col min="766" max="766" width="14.36328125" style="107" bestFit="1" customWidth="1"/>
    <col min="767" max="1002" width="8.90625" style="107"/>
    <col min="1003" max="1003" width="7.6328125" style="107" customWidth="1"/>
    <col min="1004" max="1004" width="12.54296875" style="107" customWidth="1"/>
    <col min="1005" max="1005" width="9.36328125" style="107" customWidth="1"/>
    <col min="1006" max="1006" width="9.90625" style="107" customWidth="1"/>
    <col min="1007" max="1007" width="10.36328125" style="107" bestFit="1" customWidth="1"/>
    <col min="1008" max="1008" width="11.90625" style="107" customWidth="1"/>
    <col min="1009" max="1009" width="10.54296875" style="107" customWidth="1"/>
    <col min="1010" max="1010" width="13.36328125" style="107" customWidth="1"/>
    <col min="1011" max="1012" width="10.54296875" style="107" customWidth="1"/>
    <col min="1013" max="1013" width="10.6328125" style="107" customWidth="1"/>
    <col min="1014" max="1014" width="12.08984375" style="107" customWidth="1"/>
    <col min="1015" max="1018" width="10.54296875" style="107" customWidth="1"/>
    <col min="1019" max="1019" width="12.08984375" style="107" bestFit="1" customWidth="1"/>
    <col min="1020" max="1020" width="10.54296875" style="107" customWidth="1"/>
    <col min="1021" max="1021" width="11.36328125" style="107" customWidth="1"/>
    <col min="1022" max="1022" width="14.36328125" style="107" bestFit="1" customWidth="1"/>
    <col min="1023" max="1258" width="8.90625" style="107"/>
    <col min="1259" max="1259" width="7.6328125" style="107" customWidth="1"/>
    <col min="1260" max="1260" width="12.54296875" style="107" customWidth="1"/>
    <col min="1261" max="1261" width="9.36328125" style="107" customWidth="1"/>
    <col min="1262" max="1262" width="9.90625" style="107" customWidth="1"/>
    <col min="1263" max="1263" width="10.36328125" style="107" bestFit="1" customWidth="1"/>
    <col min="1264" max="1264" width="11.90625" style="107" customWidth="1"/>
    <col min="1265" max="1265" width="10.54296875" style="107" customWidth="1"/>
    <col min="1266" max="1266" width="13.36328125" style="107" customWidth="1"/>
    <col min="1267" max="1268" width="10.54296875" style="107" customWidth="1"/>
    <col min="1269" max="1269" width="10.6328125" style="107" customWidth="1"/>
    <col min="1270" max="1270" width="12.08984375" style="107" customWidth="1"/>
    <col min="1271" max="1274" width="10.54296875" style="107" customWidth="1"/>
    <col min="1275" max="1275" width="12.08984375" style="107" bestFit="1" customWidth="1"/>
    <col min="1276" max="1276" width="10.54296875" style="107" customWidth="1"/>
    <col min="1277" max="1277" width="11.36328125" style="107" customWidth="1"/>
    <col min="1278" max="1278" width="14.36328125" style="107" bestFit="1" customWidth="1"/>
    <col min="1279" max="1514" width="8.90625" style="107"/>
    <col min="1515" max="1515" width="7.6328125" style="107" customWidth="1"/>
    <col min="1516" max="1516" width="12.54296875" style="107" customWidth="1"/>
    <col min="1517" max="1517" width="9.36328125" style="107" customWidth="1"/>
    <col min="1518" max="1518" width="9.90625" style="107" customWidth="1"/>
    <col min="1519" max="1519" width="10.36328125" style="107" bestFit="1" customWidth="1"/>
    <col min="1520" max="1520" width="11.90625" style="107" customWidth="1"/>
    <col min="1521" max="1521" width="10.54296875" style="107" customWidth="1"/>
    <col min="1522" max="1522" width="13.36328125" style="107" customWidth="1"/>
    <col min="1523" max="1524" width="10.54296875" style="107" customWidth="1"/>
    <col min="1525" max="1525" width="10.6328125" style="107" customWidth="1"/>
    <col min="1526" max="1526" width="12.08984375" style="107" customWidth="1"/>
    <col min="1527" max="1530" width="10.54296875" style="107" customWidth="1"/>
    <col min="1531" max="1531" width="12.08984375" style="107" bestFit="1" customWidth="1"/>
    <col min="1532" max="1532" width="10.54296875" style="107" customWidth="1"/>
    <col min="1533" max="1533" width="11.36328125" style="107" customWidth="1"/>
    <col min="1534" max="1534" width="14.36328125" style="107" bestFit="1" customWidth="1"/>
    <col min="1535" max="1770" width="8.90625" style="107"/>
    <col min="1771" max="1771" width="7.6328125" style="107" customWidth="1"/>
    <col min="1772" max="1772" width="12.54296875" style="107" customWidth="1"/>
    <col min="1773" max="1773" width="9.36328125" style="107" customWidth="1"/>
    <col min="1774" max="1774" width="9.90625" style="107" customWidth="1"/>
    <col min="1775" max="1775" width="10.36328125" style="107" bestFit="1" customWidth="1"/>
    <col min="1776" max="1776" width="11.90625" style="107" customWidth="1"/>
    <col min="1777" max="1777" width="10.54296875" style="107" customWidth="1"/>
    <col min="1778" max="1778" width="13.36328125" style="107" customWidth="1"/>
    <col min="1779" max="1780" width="10.54296875" style="107" customWidth="1"/>
    <col min="1781" max="1781" width="10.6328125" style="107" customWidth="1"/>
    <col min="1782" max="1782" width="12.08984375" style="107" customWidth="1"/>
    <col min="1783" max="1786" width="10.54296875" style="107" customWidth="1"/>
    <col min="1787" max="1787" width="12.08984375" style="107" bestFit="1" customWidth="1"/>
    <col min="1788" max="1788" width="10.54296875" style="107" customWidth="1"/>
    <col min="1789" max="1789" width="11.36328125" style="107" customWidth="1"/>
    <col min="1790" max="1790" width="14.36328125" style="107" bestFit="1" customWidth="1"/>
    <col min="1791" max="2026" width="8.90625" style="107"/>
    <col min="2027" max="2027" width="7.6328125" style="107" customWidth="1"/>
    <col min="2028" max="2028" width="12.54296875" style="107" customWidth="1"/>
    <col min="2029" max="2029" width="9.36328125" style="107" customWidth="1"/>
    <col min="2030" max="2030" width="9.90625" style="107" customWidth="1"/>
    <col min="2031" max="2031" width="10.36328125" style="107" bestFit="1" customWidth="1"/>
    <col min="2032" max="2032" width="11.90625" style="107" customWidth="1"/>
    <col min="2033" max="2033" width="10.54296875" style="107" customWidth="1"/>
    <col min="2034" max="2034" width="13.36328125" style="107" customWidth="1"/>
    <col min="2035" max="2036" width="10.54296875" style="107" customWidth="1"/>
    <col min="2037" max="2037" width="10.6328125" style="107" customWidth="1"/>
    <col min="2038" max="2038" width="12.08984375" style="107" customWidth="1"/>
    <col min="2039" max="2042" width="10.54296875" style="107" customWidth="1"/>
    <col min="2043" max="2043" width="12.08984375" style="107" bestFit="1" customWidth="1"/>
    <col min="2044" max="2044" width="10.54296875" style="107" customWidth="1"/>
    <col min="2045" max="2045" width="11.36328125" style="107" customWidth="1"/>
    <col min="2046" max="2046" width="14.36328125" style="107" bestFit="1" customWidth="1"/>
    <col min="2047" max="2282" width="8.90625" style="107"/>
    <col min="2283" max="2283" width="7.6328125" style="107" customWidth="1"/>
    <col min="2284" max="2284" width="12.54296875" style="107" customWidth="1"/>
    <col min="2285" max="2285" width="9.36328125" style="107" customWidth="1"/>
    <col min="2286" max="2286" width="9.90625" style="107" customWidth="1"/>
    <col min="2287" max="2287" width="10.36328125" style="107" bestFit="1" customWidth="1"/>
    <col min="2288" max="2288" width="11.90625" style="107" customWidth="1"/>
    <col min="2289" max="2289" width="10.54296875" style="107" customWidth="1"/>
    <col min="2290" max="2290" width="13.36328125" style="107" customWidth="1"/>
    <col min="2291" max="2292" width="10.54296875" style="107" customWidth="1"/>
    <col min="2293" max="2293" width="10.6328125" style="107" customWidth="1"/>
    <col min="2294" max="2294" width="12.08984375" style="107" customWidth="1"/>
    <col min="2295" max="2298" width="10.54296875" style="107" customWidth="1"/>
    <col min="2299" max="2299" width="12.08984375" style="107" bestFit="1" customWidth="1"/>
    <col min="2300" max="2300" width="10.54296875" style="107" customWidth="1"/>
    <col min="2301" max="2301" width="11.36328125" style="107" customWidth="1"/>
    <col min="2302" max="2302" width="14.36328125" style="107" bestFit="1" customWidth="1"/>
    <col min="2303" max="2538" width="8.90625" style="107"/>
    <col min="2539" max="2539" width="7.6328125" style="107" customWidth="1"/>
    <col min="2540" max="2540" width="12.54296875" style="107" customWidth="1"/>
    <col min="2541" max="2541" width="9.36328125" style="107" customWidth="1"/>
    <col min="2542" max="2542" width="9.90625" style="107" customWidth="1"/>
    <col min="2543" max="2543" width="10.36328125" style="107" bestFit="1" customWidth="1"/>
    <col min="2544" max="2544" width="11.90625" style="107" customWidth="1"/>
    <col min="2545" max="2545" width="10.54296875" style="107" customWidth="1"/>
    <col min="2546" max="2546" width="13.36328125" style="107" customWidth="1"/>
    <col min="2547" max="2548" width="10.54296875" style="107" customWidth="1"/>
    <col min="2549" max="2549" width="10.6328125" style="107" customWidth="1"/>
    <col min="2550" max="2550" width="12.08984375" style="107" customWidth="1"/>
    <col min="2551" max="2554" width="10.54296875" style="107" customWidth="1"/>
    <col min="2555" max="2555" width="12.08984375" style="107" bestFit="1" customWidth="1"/>
    <col min="2556" max="2556" width="10.54296875" style="107" customWidth="1"/>
    <col min="2557" max="2557" width="11.36328125" style="107" customWidth="1"/>
    <col min="2558" max="2558" width="14.36328125" style="107" bestFit="1" customWidth="1"/>
    <col min="2559" max="2794" width="8.90625" style="107"/>
    <col min="2795" max="2795" width="7.6328125" style="107" customWidth="1"/>
    <col min="2796" max="2796" width="12.54296875" style="107" customWidth="1"/>
    <col min="2797" max="2797" width="9.36328125" style="107" customWidth="1"/>
    <col min="2798" max="2798" width="9.90625" style="107" customWidth="1"/>
    <col min="2799" max="2799" width="10.36328125" style="107" bestFit="1" customWidth="1"/>
    <col min="2800" max="2800" width="11.90625" style="107" customWidth="1"/>
    <col min="2801" max="2801" width="10.54296875" style="107" customWidth="1"/>
    <col min="2802" max="2802" width="13.36328125" style="107" customWidth="1"/>
    <col min="2803" max="2804" width="10.54296875" style="107" customWidth="1"/>
    <col min="2805" max="2805" width="10.6328125" style="107" customWidth="1"/>
    <col min="2806" max="2806" width="12.08984375" style="107" customWidth="1"/>
    <col min="2807" max="2810" width="10.54296875" style="107" customWidth="1"/>
    <col min="2811" max="2811" width="12.08984375" style="107" bestFit="1" customWidth="1"/>
    <col min="2812" max="2812" width="10.54296875" style="107" customWidth="1"/>
    <col min="2813" max="2813" width="11.36328125" style="107" customWidth="1"/>
    <col min="2814" max="2814" width="14.36328125" style="107" bestFit="1" customWidth="1"/>
    <col min="2815" max="3050" width="8.90625" style="107"/>
    <col min="3051" max="3051" width="7.6328125" style="107" customWidth="1"/>
    <col min="3052" max="3052" width="12.54296875" style="107" customWidth="1"/>
    <col min="3053" max="3053" width="9.36328125" style="107" customWidth="1"/>
    <col min="3054" max="3054" width="9.90625" style="107" customWidth="1"/>
    <col min="3055" max="3055" width="10.36328125" style="107" bestFit="1" customWidth="1"/>
    <col min="3056" max="3056" width="11.90625" style="107" customWidth="1"/>
    <col min="3057" max="3057" width="10.54296875" style="107" customWidth="1"/>
    <col min="3058" max="3058" width="13.36328125" style="107" customWidth="1"/>
    <col min="3059" max="3060" width="10.54296875" style="107" customWidth="1"/>
    <col min="3061" max="3061" width="10.6328125" style="107" customWidth="1"/>
    <col min="3062" max="3062" width="12.08984375" style="107" customWidth="1"/>
    <col min="3063" max="3066" width="10.54296875" style="107" customWidth="1"/>
    <col min="3067" max="3067" width="12.08984375" style="107" bestFit="1" customWidth="1"/>
    <col min="3068" max="3068" width="10.54296875" style="107" customWidth="1"/>
    <col min="3069" max="3069" width="11.36328125" style="107" customWidth="1"/>
    <col min="3070" max="3070" width="14.36328125" style="107" bestFit="1" customWidth="1"/>
    <col min="3071" max="3306" width="8.90625" style="107"/>
    <col min="3307" max="3307" width="7.6328125" style="107" customWidth="1"/>
    <col min="3308" max="3308" width="12.54296875" style="107" customWidth="1"/>
    <col min="3309" max="3309" width="9.36328125" style="107" customWidth="1"/>
    <col min="3310" max="3310" width="9.90625" style="107" customWidth="1"/>
    <col min="3311" max="3311" width="10.36328125" style="107" bestFit="1" customWidth="1"/>
    <col min="3312" max="3312" width="11.90625" style="107" customWidth="1"/>
    <col min="3313" max="3313" width="10.54296875" style="107" customWidth="1"/>
    <col min="3314" max="3314" width="13.36328125" style="107" customWidth="1"/>
    <col min="3315" max="3316" width="10.54296875" style="107" customWidth="1"/>
    <col min="3317" max="3317" width="10.6328125" style="107" customWidth="1"/>
    <col min="3318" max="3318" width="12.08984375" style="107" customWidth="1"/>
    <col min="3319" max="3322" width="10.54296875" style="107" customWidth="1"/>
    <col min="3323" max="3323" width="12.08984375" style="107" bestFit="1" customWidth="1"/>
    <col min="3324" max="3324" width="10.54296875" style="107" customWidth="1"/>
    <col min="3325" max="3325" width="11.36328125" style="107" customWidth="1"/>
    <col min="3326" max="3326" width="14.36328125" style="107" bestFit="1" customWidth="1"/>
    <col min="3327" max="3562" width="8.90625" style="107"/>
    <col min="3563" max="3563" width="7.6328125" style="107" customWidth="1"/>
    <col min="3564" max="3564" width="12.54296875" style="107" customWidth="1"/>
    <col min="3565" max="3565" width="9.36328125" style="107" customWidth="1"/>
    <col min="3566" max="3566" width="9.90625" style="107" customWidth="1"/>
    <col min="3567" max="3567" width="10.36328125" style="107" bestFit="1" customWidth="1"/>
    <col min="3568" max="3568" width="11.90625" style="107" customWidth="1"/>
    <col min="3569" max="3569" width="10.54296875" style="107" customWidth="1"/>
    <col min="3570" max="3570" width="13.36328125" style="107" customWidth="1"/>
    <col min="3571" max="3572" width="10.54296875" style="107" customWidth="1"/>
    <col min="3573" max="3573" width="10.6328125" style="107" customWidth="1"/>
    <col min="3574" max="3574" width="12.08984375" style="107" customWidth="1"/>
    <col min="3575" max="3578" width="10.54296875" style="107" customWidth="1"/>
    <col min="3579" max="3579" width="12.08984375" style="107" bestFit="1" customWidth="1"/>
    <col min="3580" max="3580" width="10.54296875" style="107" customWidth="1"/>
    <col min="3581" max="3581" width="11.36328125" style="107" customWidth="1"/>
    <col min="3582" max="3582" width="14.36328125" style="107" bestFit="1" customWidth="1"/>
    <col min="3583" max="3818" width="8.90625" style="107"/>
    <col min="3819" max="3819" width="7.6328125" style="107" customWidth="1"/>
    <col min="3820" max="3820" width="12.54296875" style="107" customWidth="1"/>
    <col min="3821" max="3821" width="9.36328125" style="107" customWidth="1"/>
    <col min="3822" max="3822" width="9.90625" style="107" customWidth="1"/>
    <col min="3823" max="3823" width="10.36328125" style="107" bestFit="1" customWidth="1"/>
    <col min="3824" max="3824" width="11.90625" style="107" customWidth="1"/>
    <col min="3825" max="3825" width="10.54296875" style="107" customWidth="1"/>
    <col min="3826" max="3826" width="13.36328125" style="107" customWidth="1"/>
    <col min="3827" max="3828" width="10.54296875" style="107" customWidth="1"/>
    <col min="3829" max="3829" width="10.6328125" style="107" customWidth="1"/>
    <col min="3830" max="3830" width="12.08984375" style="107" customWidth="1"/>
    <col min="3831" max="3834" width="10.54296875" style="107" customWidth="1"/>
    <col min="3835" max="3835" width="12.08984375" style="107" bestFit="1" customWidth="1"/>
    <col min="3836" max="3836" width="10.54296875" style="107" customWidth="1"/>
    <col min="3837" max="3837" width="11.36328125" style="107" customWidth="1"/>
    <col min="3838" max="3838" width="14.36328125" style="107" bestFit="1" customWidth="1"/>
    <col min="3839" max="4074" width="8.90625" style="107"/>
    <col min="4075" max="4075" width="7.6328125" style="107" customWidth="1"/>
    <col min="4076" max="4076" width="12.54296875" style="107" customWidth="1"/>
    <col min="4077" max="4077" width="9.36328125" style="107" customWidth="1"/>
    <col min="4078" max="4078" width="9.90625" style="107" customWidth="1"/>
    <col min="4079" max="4079" width="10.36328125" style="107" bestFit="1" customWidth="1"/>
    <col min="4080" max="4080" width="11.90625" style="107" customWidth="1"/>
    <col min="4081" max="4081" width="10.54296875" style="107" customWidth="1"/>
    <col min="4082" max="4082" width="13.36328125" style="107" customWidth="1"/>
    <col min="4083" max="4084" width="10.54296875" style="107" customWidth="1"/>
    <col min="4085" max="4085" width="10.6328125" style="107" customWidth="1"/>
    <col min="4086" max="4086" width="12.08984375" style="107" customWidth="1"/>
    <col min="4087" max="4090" width="10.54296875" style="107" customWidth="1"/>
    <col min="4091" max="4091" width="12.08984375" style="107" bestFit="1" customWidth="1"/>
    <col min="4092" max="4092" width="10.54296875" style="107" customWidth="1"/>
    <col min="4093" max="4093" width="11.36328125" style="107" customWidth="1"/>
    <col min="4094" max="4094" width="14.36328125" style="107" bestFit="1" customWidth="1"/>
    <col min="4095" max="4330" width="8.90625" style="107"/>
    <col min="4331" max="4331" width="7.6328125" style="107" customWidth="1"/>
    <col min="4332" max="4332" width="12.54296875" style="107" customWidth="1"/>
    <col min="4333" max="4333" width="9.36328125" style="107" customWidth="1"/>
    <col min="4334" max="4334" width="9.90625" style="107" customWidth="1"/>
    <col min="4335" max="4335" width="10.36328125" style="107" bestFit="1" customWidth="1"/>
    <col min="4336" max="4336" width="11.90625" style="107" customWidth="1"/>
    <col min="4337" max="4337" width="10.54296875" style="107" customWidth="1"/>
    <col min="4338" max="4338" width="13.36328125" style="107" customWidth="1"/>
    <col min="4339" max="4340" width="10.54296875" style="107" customWidth="1"/>
    <col min="4341" max="4341" width="10.6328125" style="107" customWidth="1"/>
    <col min="4342" max="4342" width="12.08984375" style="107" customWidth="1"/>
    <col min="4343" max="4346" width="10.54296875" style="107" customWidth="1"/>
    <col min="4347" max="4347" width="12.08984375" style="107" bestFit="1" customWidth="1"/>
    <col min="4348" max="4348" width="10.54296875" style="107" customWidth="1"/>
    <col min="4349" max="4349" width="11.36328125" style="107" customWidth="1"/>
    <col min="4350" max="4350" width="14.36328125" style="107" bestFit="1" customWidth="1"/>
    <col min="4351" max="4586" width="8.90625" style="107"/>
    <col min="4587" max="4587" width="7.6328125" style="107" customWidth="1"/>
    <col min="4588" max="4588" width="12.54296875" style="107" customWidth="1"/>
    <col min="4589" max="4589" width="9.36328125" style="107" customWidth="1"/>
    <col min="4590" max="4590" width="9.90625" style="107" customWidth="1"/>
    <col min="4591" max="4591" width="10.36328125" style="107" bestFit="1" customWidth="1"/>
    <col min="4592" max="4592" width="11.90625" style="107" customWidth="1"/>
    <col min="4593" max="4593" width="10.54296875" style="107" customWidth="1"/>
    <col min="4594" max="4594" width="13.36328125" style="107" customWidth="1"/>
    <col min="4595" max="4596" width="10.54296875" style="107" customWidth="1"/>
    <col min="4597" max="4597" width="10.6328125" style="107" customWidth="1"/>
    <col min="4598" max="4598" width="12.08984375" style="107" customWidth="1"/>
    <col min="4599" max="4602" width="10.54296875" style="107" customWidth="1"/>
    <col min="4603" max="4603" width="12.08984375" style="107" bestFit="1" customWidth="1"/>
    <col min="4604" max="4604" width="10.54296875" style="107" customWidth="1"/>
    <col min="4605" max="4605" width="11.36328125" style="107" customWidth="1"/>
    <col min="4606" max="4606" width="14.36328125" style="107" bestFit="1" customWidth="1"/>
    <col min="4607" max="4842" width="8.90625" style="107"/>
    <col min="4843" max="4843" width="7.6328125" style="107" customWidth="1"/>
    <col min="4844" max="4844" width="12.54296875" style="107" customWidth="1"/>
    <col min="4845" max="4845" width="9.36328125" style="107" customWidth="1"/>
    <col min="4846" max="4846" width="9.90625" style="107" customWidth="1"/>
    <col min="4847" max="4847" width="10.36328125" style="107" bestFit="1" customWidth="1"/>
    <col min="4848" max="4848" width="11.90625" style="107" customWidth="1"/>
    <col min="4849" max="4849" width="10.54296875" style="107" customWidth="1"/>
    <col min="4850" max="4850" width="13.36328125" style="107" customWidth="1"/>
    <col min="4851" max="4852" width="10.54296875" style="107" customWidth="1"/>
    <col min="4853" max="4853" width="10.6328125" style="107" customWidth="1"/>
    <col min="4854" max="4854" width="12.08984375" style="107" customWidth="1"/>
    <col min="4855" max="4858" width="10.54296875" style="107" customWidth="1"/>
    <col min="4859" max="4859" width="12.08984375" style="107" bestFit="1" customWidth="1"/>
    <col min="4860" max="4860" width="10.54296875" style="107" customWidth="1"/>
    <col min="4861" max="4861" width="11.36328125" style="107" customWidth="1"/>
    <col min="4862" max="4862" width="14.36328125" style="107" bestFit="1" customWidth="1"/>
    <col min="4863" max="5098" width="8.90625" style="107"/>
    <col min="5099" max="5099" width="7.6328125" style="107" customWidth="1"/>
    <col min="5100" max="5100" width="12.54296875" style="107" customWidth="1"/>
    <col min="5101" max="5101" width="9.36328125" style="107" customWidth="1"/>
    <col min="5102" max="5102" width="9.90625" style="107" customWidth="1"/>
    <col min="5103" max="5103" width="10.36328125" style="107" bestFit="1" customWidth="1"/>
    <col min="5104" max="5104" width="11.90625" style="107" customWidth="1"/>
    <col min="5105" max="5105" width="10.54296875" style="107" customWidth="1"/>
    <col min="5106" max="5106" width="13.36328125" style="107" customWidth="1"/>
    <col min="5107" max="5108" width="10.54296875" style="107" customWidth="1"/>
    <col min="5109" max="5109" width="10.6328125" style="107" customWidth="1"/>
    <col min="5110" max="5110" width="12.08984375" style="107" customWidth="1"/>
    <col min="5111" max="5114" width="10.54296875" style="107" customWidth="1"/>
    <col min="5115" max="5115" width="12.08984375" style="107" bestFit="1" customWidth="1"/>
    <col min="5116" max="5116" width="10.54296875" style="107" customWidth="1"/>
    <col min="5117" max="5117" width="11.36328125" style="107" customWidth="1"/>
    <col min="5118" max="5118" width="14.36328125" style="107" bestFit="1" customWidth="1"/>
    <col min="5119" max="5354" width="8.90625" style="107"/>
    <col min="5355" max="5355" width="7.6328125" style="107" customWidth="1"/>
    <col min="5356" max="5356" width="12.54296875" style="107" customWidth="1"/>
    <col min="5357" max="5357" width="9.36328125" style="107" customWidth="1"/>
    <col min="5358" max="5358" width="9.90625" style="107" customWidth="1"/>
    <col min="5359" max="5359" width="10.36328125" style="107" bestFit="1" customWidth="1"/>
    <col min="5360" max="5360" width="11.90625" style="107" customWidth="1"/>
    <col min="5361" max="5361" width="10.54296875" style="107" customWidth="1"/>
    <col min="5362" max="5362" width="13.36328125" style="107" customWidth="1"/>
    <col min="5363" max="5364" width="10.54296875" style="107" customWidth="1"/>
    <col min="5365" max="5365" width="10.6328125" style="107" customWidth="1"/>
    <col min="5366" max="5366" width="12.08984375" style="107" customWidth="1"/>
    <col min="5367" max="5370" width="10.54296875" style="107" customWidth="1"/>
    <col min="5371" max="5371" width="12.08984375" style="107" bestFit="1" customWidth="1"/>
    <col min="5372" max="5372" width="10.54296875" style="107" customWidth="1"/>
    <col min="5373" max="5373" width="11.36328125" style="107" customWidth="1"/>
    <col min="5374" max="5374" width="14.36328125" style="107" bestFit="1" customWidth="1"/>
    <col min="5375" max="5610" width="8.90625" style="107"/>
    <col min="5611" max="5611" width="7.6328125" style="107" customWidth="1"/>
    <col min="5612" max="5612" width="12.54296875" style="107" customWidth="1"/>
    <col min="5613" max="5613" width="9.36328125" style="107" customWidth="1"/>
    <col min="5614" max="5614" width="9.90625" style="107" customWidth="1"/>
    <col min="5615" max="5615" width="10.36328125" style="107" bestFit="1" customWidth="1"/>
    <col min="5616" max="5616" width="11.90625" style="107" customWidth="1"/>
    <col min="5617" max="5617" width="10.54296875" style="107" customWidth="1"/>
    <col min="5618" max="5618" width="13.36328125" style="107" customWidth="1"/>
    <col min="5619" max="5620" width="10.54296875" style="107" customWidth="1"/>
    <col min="5621" max="5621" width="10.6328125" style="107" customWidth="1"/>
    <col min="5622" max="5622" width="12.08984375" style="107" customWidth="1"/>
    <col min="5623" max="5626" width="10.54296875" style="107" customWidth="1"/>
    <col min="5627" max="5627" width="12.08984375" style="107" bestFit="1" customWidth="1"/>
    <col min="5628" max="5628" width="10.54296875" style="107" customWidth="1"/>
    <col min="5629" max="5629" width="11.36328125" style="107" customWidth="1"/>
    <col min="5630" max="5630" width="14.36328125" style="107" bestFit="1" customWidth="1"/>
    <col min="5631" max="5866" width="8.90625" style="107"/>
    <col min="5867" max="5867" width="7.6328125" style="107" customWidth="1"/>
    <col min="5868" max="5868" width="12.54296875" style="107" customWidth="1"/>
    <col min="5869" max="5869" width="9.36328125" style="107" customWidth="1"/>
    <col min="5870" max="5870" width="9.90625" style="107" customWidth="1"/>
    <col min="5871" max="5871" width="10.36328125" style="107" bestFit="1" customWidth="1"/>
    <col min="5872" max="5872" width="11.90625" style="107" customWidth="1"/>
    <col min="5873" max="5873" width="10.54296875" style="107" customWidth="1"/>
    <col min="5874" max="5874" width="13.36328125" style="107" customWidth="1"/>
    <col min="5875" max="5876" width="10.54296875" style="107" customWidth="1"/>
    <col min="5877" max="5877" width="10.6328125" style="107" customWidth="1"/>
    <col min="5878" max="5878" width="12.08984375" style="107" customWidth="1"/>
    <col min="5879" max="5882" width="10.54296875" style="107" customWidth="1"/>
    <col min="5883" max="5883" width="12.08984375" style="107" bestFit="1" customWidth="1"/>
    <col min="5884" max="5884" width="10.54296875" style="107" customWidth="1"/>
    <col min="5885" max="5885" width="11.36328125" style="107" customWidth="1"/>
    <col min="5886" max="5886" width="14.36328125" style="107" bestFit="1" customWidth="1"/>
    <col min="5887" max="6122" width="8.90625" style="107"/>
    <col min="6123" max="6123" width="7.6328125" style="107" customWidth="1"/>
    <col min="6124" max="6124" width="12.54296875" style="107" customWidth="1"/>
    <col min="6125" max="6125" width="9.36328125" style="107" customWidth="1"/>
    <col min="6126" max="6126" width="9.90625" style="107" customWidth="1"/>
    <col min="6127" max="6127" width="10.36328125" style="107" bestFit="1" customWidth="1"/>
    <col min="6128" max="6128" width="11.90625" style="107" customWidth="1"/>
    <col min="6129" max="6129" width="10.54296875" style="107" customWidth="1"/>
    <col min="6130" max="6130" width="13.36328125" style="107" customWidth="1"/>
    <col min="6131" max="6132" width="10.54296875" style="107" customWidth="1"/>
    <col min="6133" max="6133" width="10.6328125" style="107" customWidth="1"/>
    <col min="6134" max="6134" width="12.08984375" style="107" customWidth="1"/>
    <col min="6135" max="6138" width="10.54296875" style="107" customWidth="1"/>
    <col min="6139" max="6139" width="12.08984375" style="107" bestFit="1" customWidth="1"/>
    <col min="6140" max="6140" width="10.54296875" style="107" customWidth="1"/>
    <col min="6141" max="6141" width="11.36328125" style="107" customWidth="1"/>
    <col min="6142" max="6142" width="14.36328125" style="107" bestFit="1" customWidth="1"/>
    <col min="6143" max="6378" width="8.90625" style="107"/>
    <col min="6379" max="6379" width="7.6328125" style="107" customWidth="1"/>
    <col min="6380" max="6380" width="12.54296875" style="107" customWidth="1"/>
    <col min="6381" max="6381" width="9.36328125" style="107" customWidth="1"/>
    <col min="6382" max="6382" width="9.90625" style="107" customWidth="1"/>
    <col min="6383" max="6383" width="10.36328125" style="107" bestFit="1" customWidth="1"/>
    <col min="6384" max="6384" width="11.90625" style="107" customWidth="1"/>
    <col min="6385" max="6385" width="10.54296875" style="107" customWidth="1"/>
    <col min="6386" max="6386" width="13.36328125" style="107" customWidth="1"/>
    <col min="6387" max="6388" width="10.54296875" style="107" customWidth="1"/>
    <col min="6389" max="6389" width="10.6328125" style="107" customWidth="1"/>
    <col min="6390" max="6390" width="12.08984375" style="107" customWidth="1"/>
    <col min="6391" max="6394" width="10.54296875" style="107" customWidth="1"/>
    <col min="6395" max="6395" width="12.08984375" style="107" bestFit="1" customWidth="1"/>
    <col min="6396" max="6396" width="10.54296875" style="107" customWidth="1"/>
    <col min="6397" max="6397" width="11.36328125" style="107" customWidth="1"/>
    <col min="6398" max="6398" width="14.36328125" style="107" bestFit="1" customWidth="1"/>
    <col min="6399" max="6634" width="8.90625" style="107"/>
    <col min="6635" max="6635" width="7.6328125" style="107" customWidth="1"/>
    <col min="6636" max="6636" width="12.54296875" style="107" customWidth="1"/>
    <col min="6637" max="6637" width="9.36328125" style="107" customWidth="1"/>
    <col min="6638" max="6638" width="9.90625" style="107" customWidth="1"/>
    <col min="6639" max="6639" width="10.36328125" style="107" bestFit="1" customWidth="1"/>
    <col min="6640" max="6640" width="11.90625" style="107" customWidth="1"/>
    <col min="6641" max="6641" width="10.54296875" style="107" customWidth="1"/>
    <col min="6642" max="6642" width="13.36328125" style="107" customWidth="1"/>
    <col min="6643" max="6644" width="10.54296875" style="107" customWidth="1"/>
    <col min="6645" max="6645" width="10.6328125" style="107" customWidth="1"/>
    <col min="6646" max="6646" width="12.08984375" style="107" customWidth="1"/>
    <col min="6647" max="6650" width="10.54296875" style="107" customWidth="1"/>
    <col min="6651" max="6651" width="12.08984375" style="107" bestFit="1" customWidth="1"/>
    <col min="6652" max="6652" width="10.54296875" style="107" customWidth="1"/>
    <col min="6653" max="6653" width="11.36328125" style="107" customWidth="1"/>
    <col min="6654" max="6654" width="14.36328125" style="107" bestFit="1" customWidth="1"/>
    <col min="6655" max="6890" width="8.90625" style="107"/>
    <col min="6891" max="6891" width="7.6328125" style="107" customWidth="1"/>
    <col min="6892" max="6892" width="12.54296875" style="107" customWidth="1"/>
    <col min="6893" max="6893" width="9.36328125" style="107" customWidth="1"/>
    <col min="6894" max="6894" width="9.90625" style="107" customWidth="1"/>
    <col min="6895" max="6895" width="10.36328125" style="107" bestFit="1" customWidth="1"/>
    <col min="6896" max="6896" width="11.90625" style="107" customWidth="1"/>
    <col min="6897" max="6897" width="10.54296875" style="107" customWidth="1"/>
    <col min="6898" max="6898" width="13.36328125" style="107" customWidth="1"/>
    <col min="6899" max="6900" width="10.54296875" style="107" customWidth="1"/>
    <col min="6901" max="6901" width="10.6328125" style="107" customWidth="1"/>
    <col min="6902" max="6902" width="12.08984375" style="107" customWidth="1"/>
    <col min="6903" max="6906" width="10.54296875" style="107" customWidth="1"/>
    <col min="6907" max="6907" width="12.08984375" style="107" bestFit="1" customWidth="1"/>
    <col min="6908" max="6908" width="10.54296875" style="107" customWidth="1"/>
    <col min="6909" max="6909" width="11.36328125" style="107" customWidth="1"/>
    <col min="6910" max="6910" width="14.36328125" style="107" bestFit="1" customWidth="1"/>
    <col min="6911" max="7146" width="8.90625" style="107"/>
    <col min="7147" max="7147" width="7.6328125" style="107" customWidth="1"/>
    <col min="7148" max="7148" width="12.54296875" style="107" customWidth="1"/>
    <col min="7149" max="7149" width="9.36328125" style="107" customWidth="1"/>
    <col min="7150" max="7150" width="9.90625" style="107" customWidth="1"/>
    <col min="7151" max="7151" width="10.36328125" style="107" bestFit="1" customWidth="1"/>
    <col min="7152" max="7152" width="11.90625" style="107" customWidth="1"/>
    <col min="7153" max="7153" width="10.54296875" style="107" customWidth="1"/>
    <col min="7154" max="7154" width="13.36328125" style="107" customWidth="1"/>
    <col min="7155" max="7156" width="10.54296875" style="107" customWidth="1"/>
    <col min="7157" max="7157" width="10.6328125" style="107" customWidth="1"/>
    <col min="7158" max="7158" width="12.08984375" style="107" customWidth="1"/>
    <col min="7159" max="7162" width="10.54296875" style="107" customWidth="1"/>
    <col min="7163" max="7163" width="12.08984375" style="107" bestFit="1" customWidth="1"/>
    <col min="7164" max="7164" width="10.54296875" style="107" customWidth="1"/>
    <col min="7165" max="7165" width="11.36328125" style="107" customWidth="1"/>
    <col min="7166" max="7166" width="14.36328125" style="107" bestFit="1" customWidth="1"/>
    <col min="7167" max="7402" width="8.90625" style="107"/>
    <col min="7403" max="7403" width="7.6328125" style="107" customWidth="1"/>
    <col min="7404" max="7404" width="12.54296875" style="107" customWidth="1"/>
    <col min="7405" max="7405" width="9.36328125" style="107" customWidth="1"/>
    <col min="7406" max="7406" width="9.90625" style="107" customWidth="1"/>
    <col min="7407" max="7407" width="10.36328125" style="107" bestFit="1" customWidth="1"/>
    <col min="7408" max="7408" width="11.90625" style="107" customWidth="1"/>
    <col min="7409" max="7409" width="10.54296875" style="107" customWidth="1"/>
    <col min="7410" max="7410" width="13.36328125" style="107" customWidth="1"/>
    <col min="7411" max="7412" width="10.54296875" style="107" customWidth="1"/>
    <col min="7413" max="7413" width="10.6328125" style="107" customWidth="1"/>
    <col min="7414" max="7414" width="12.08984375" style="107" customWidth="1"/>
    <col min="7415" max="7418" width="10.54296875" style="107" customWidth="1"/>
    <col min="7419" max="7419" width="12.08984375" style="107" bestFit="1" customWidth="1"/>
    <col min="7420" max="7420" width="10.54296875" style="107" customWidth="1"/>
    <col min="7421" max="7421" width="11.36328125" style="107" customWidth="1"/>
    <col min="7422" max="7422" width="14.36328125" style="107" bestFit="1" customWidth="1"/>
    <col min="7423" max="7658" width="8.90625" style="107"/>
    <col min="7659" max="7659" width="7.6328125" style="107" customWidth="1"/>
    <col min="7660" max="7660" width="12.54296875" style="107" customWidth="1"/>
    <col min="7661" max="7661" width="9.36328125" style="107" customWidth="1"/>
    <col min="7662" max="7662" width="9.90625" style="107" customWidth="1"/>
    <col min="7663" max="7663" width="10.36328125" style="107" bestFit="1" customWidth="1"/>
    <col min="7664" max="7664" width="11.90625" style="107" customWidth="1"/>
    <col min="7665" max="7665" width="10.54296875" style="107" customWidth="1"/>
    <col min="7666" max="7666" width="13.36328125" style="107" customWidth="1"/>
    <col min="7667" max="7668" width="10.54296875" style="107" customWidth="1"/>
    <col min="7669" max="7669" width="10.6328125" style="107" customWidth="1"/>
    <col min="7670" max="7670" width="12.08984375" style="107" customWidth="1"/>
    <col min="7671" max="7674" width="10.54296875" style="107" customWidth="1"/>
    <col min="7675" max="7675" width="12.08984375" style="107" bestFit="1" customWidth="1"/>
    <col min="7676" max="7676" width="10.54296875" style="107" customWidth="1"/>
    <col min="7677" max="7677" width="11.36328125" style="107" customWidth="1"/>
    <col min="7678" max="7678" width="14.36328125" style="107" bestFit="1" customWidth="1"/>
    <col min="7679" max="7914" width="8.90625" style="107"/>
    <col min="7915" max="7915" width="7.6328125" style="107" customWidth="1"/>
    <col min="7916" max="7916" width="12.54296875" style="107" customWidth="1"/>
    <col min="7917" max="7917" width="9.36328125" style="107" customWidth="1"/>
    <col min="7918" max="7918" width="9.90625" style="107" customWidth="1"/>
    <col min="7919" max="7919" width="10.36328125" style="107" bestFit="1" customWidth="1"/>
    <col min="7920" max="7920" width="11.90625" style="107" customWidth="1"/>
    <col min="7921" max="7921" width="10.54296875" style="107" customWidth="1"/>
    <col min="7922" max="7922" width="13.36328125" style="107" customWidth="1"/>
    <col min="7923" max="7924" width="10.54296875" style="107" customWidth="1"/>
    <col min="7925" max="7925" width="10.6328125" style="107" customWidth="1"/>
    <col min="7926" max="7926" width="12.08984375" style="107" customWidth="1"/>
    <col min="7927" max="7930" width="10.54296875" style="107" customWidth="1"/>
    <col min="7931" max="7931" width="12.08984375" style="107" bestFit="1" customWidth="1"/>
    <col min="7932" max="7932" width="10.54296875" style="107" customWidth="1"/>
    <col min="7933" max="7933" width="11.36328125" style="107" customWidth="1"/>
    <col min="7934" max="7934" width="14.36328125" style="107" bestFit="1" customWidth="1"/>
    <col min="7935" max="8170" width="8.90625" style="107"/>
    <col min="8171" max="8171" width="7.6328125" style="107" customWidth="1"/>
    <col min="8172" max="8172" width="12.54296875" style="107" customWidth="1"/>
    <col min="8173" max="8173" width="9.36328125" style="107" customWidth="1"/>
    <col min="8174" max="8174" width="9.90625" style="107" customWidth="1"/>
    <col min="8175" max="8175" width="10.36328125" style="107" bestFit="1" customWidth="1"/>
    <col min="8176" max="8176" width="11.90625" style="107" customWidth="1"/>
    <col min="8177" max="8177" width="10.54296875" style="107" customWidth="1"/>
    <col min="8178" max="8178" width="13.36328125" style="107" customWidth="1"/>
    <col min="8179" max="8180" width="10.54296875" style="107" customWidth="1"/>
    <col min="8181" max="8181" width="10.6328125" style="107" customWidth="1"/>
    <col min="8182" max="8182" width="12.08984375" style="107" customWidth="1"/>
    <col min="8183" max="8186" width="10.54296875" style="107" customWidth="1"/>
    <col min="8187" max="8187" width="12.08984375" style="107" bestFit="1" customWidth="1"/>
    <col min="8188" max="8188" width="10.54296875" style="107" customWidth="1"/>
    <col min="8189" max="8189" width="11.36328125" style="107" customWidth="1"/>
    <col min="8190" max="8190" width="14.36328125" style="107" bestFit="1" customWidth="1"/>
    <col min="8191" max="8426" width="8.90625" style="107"/>
    <col min="8427" max="8427" width="7.6328125" style="107" customWidth="1"/>
    <col min="8428" max="8428" width="12.54296875" style="107" customWidth="1"/>
    <col min="8429" max="8429" width="9.36328125" style="107" customWidth="1"/>
    <col min="8430" max="8430" width="9.90625" style="107" customWidth="1"/>
    <col min="8431" max="8431" width="10.36328125" style="107" bestFit="1" customWidth="1"/>
    <col min="8432" max="8432" width="11.90625" style="107" customWidth="1"/>
    <col min="8433" max="8433" width="10.54296875" style="107" customWidth="1"/>
    <col min="8434" max="8434" width="13.36328125" style="107" customWidth="1"/>
    <col min="8435" max="8436" width="10.54296875" style="107" customWidth="1"/>
    <col min="8437" max="8437" width="10.6328125" style="107" customWidth="1"/>
    <col min="8438" max="8438" width="12.08984375" style="107" customWidth="1"/>
    <col min="8439" max="8442" width="10.54296875" style="107" customWidth="1"/>
    <col min="8443" max="8443" width="12.08984375" style="107" bestFit="1" customWidth="1"/>
    <col min="8444" max="8444" width="10.54296875" style="107" customWidth="1"/>
    <col min="8445" max="8445" width="11.36328125" style="107" customWidth="1"/>
    <col min="8446" max="8446" width="14.36328125" style="107" bestFit="1" customWidth="1"/>
    <col min="8447" max="8682" width="8.90625" style="107"/>
    <col min="8683" max="8683" width="7.6328125" style="107" customWidth="1"/>
    <col min="8684" max="8684" width="12.54296875" style="107" customWidth="1"/>
    <col min="8685" max="8685" width="9.36328125" style="107" customWidth="1"/>
    <col min="8686" max="8686" width="9.90625" style="107" customWidth="1"/>
    <col min="8687" max="8687" width="10.36328125" style="107" bestFit="1" customWidth="1"/>
    <col min="8688" max="8688" width="11.90625" style="107" customWidth="1"/>
    <col min="8689" max="8689" width="10.54296875" style="107" customWidth="1"/>
    <col min="8690" max="8690" width="13.36328125" style="107" customWidth="1"/>
    <col min="8691" max="8692" width="10.54296875" style="107" customWidth="1"/>
    <col min="8693" max="8693" width="10.6328125" style="107" customWidth="1"/>
    <col min="8694" max="8694" width="12.08984375" style="107" customWidth="1"/>
    <col min="8695" max="8698" width="10.54296875" style="107" customWidth="1"/>
    <col min="8699" max="8699" width="12.08984375" style="107" bestFit="1" customWidth="1"/>
    <col min="8700" max="8700" width="10.54296875" style="107" customWidth="1"/>
    <col min="8701" max="8701" width="11.36328125" style="107" customWidth="1"/>
    <col min="8702" max="8702" width="14.36328125" style="107" bestFit="1" customWidth="1"/>
    <col min="8703" max="8938" width="8.90625" style="107"/>
    <col min="8939" max="8939" width="7.6328125" style="107" customWidth="1"/>
    <col min="8940" max="8940" width="12.54296875" style="107" customWidth="1"/>
    <col min="8941" max="8941" width="9.36328125" style="107" customWidth="1"/>
    <col min="8942" max="8942" width="9.90625" style="107" customWidth="1"/>
    <col min="8943" max="8943" width="10.36328125" style="107" bestFit="1" customWidth="1"/>
    <col min="8944" max="8944" width="11.90625" style="107" customWidth="1"/>
    <col min="8945" max="8945" width="10.54296875" style="107" customWidth="1"/>
    <col min="8946" max="8946" width="13.36328125" style="107" customWidth="1"/>
    <col min="8947" max="8948" width="10.54296875" style="107" customWidth="1"/>
    <col min="8949" max="8949" width="10.6328125" style="107" customWidth="1"/>
    <col min="8950" max="8950" width="12.08984375" style="107" customWidth="1"/>
    <col min="8951" max="8954" width="10.54296875" style="107" customWidth="1"/>
    <col min="8955" max="8955" width="12.08984375" style="107" bestFit="1" customWidth="1"/>
    <col min="8956" max="8956" width="10.54296875" style="107" customWidth="1"/>
    <col min="8957" max="8957" width="11.36328125" style="107" customWidth="1"/>
    <col min="8958" max="8958" width="14.36328125" style="107" bestFit="1" customWidth="1"/>
    <col min="8959" max="9194" width="8.90625" style="107"/>
    <col min="9195" max="9195" width="7.6328125" style="107" customWidth="1"/>
    <col min="9196" max="9196" width="12.54296875" style="107" customWidth="1"/>
    <col min="9197" max="9197" width="9.36328125" style="107" customWidth="1"/>
    <col min="9198" max="9198" width="9.90625" style="107" customWidth="1"/>
    <col min="9199" max="9199" width="10.36328125" style="107" bestFit="1" customWidth="1"/>
    <col min="9200" max="9200" width="11.90625" style="107" customWidth="1"/>
    <col min="9201" max="9201" width="10.54296875" style="107" customWidth="1"/>
    <col min="9202" max="9202" width="13.36328125" style="107" customWidth="1"/>
    <col min="9203" max="9204" width="10.54296875" style="107" customWidth="1"/>
    <col min="9205" max="9205" width="10.6328125" style="107" customWidth="1"/>
    <col min="9206" max="9206" width="12.08984375" style="107" customWidth="1"/>
    <col min="9207" max="9210" width="10.54296875" style="107" customWidth="1"/>
    <col min="9211" max="9211" width="12.08984375" style="107" bestFit="1" customWidth="1"/>
    <col min="9212" max="9212" width="10.54296875" style="107" customWidth="1"/>
    <col min="9213" max="9213" width="11.36328125" style="107" customWidth="1"/>
    <col min="9214" max="9214" width="14.36328125" style="107" bestFit="1" customWidth="1"/>
    <col min="9215" max="9450" width="8.90625" style="107"/>
    <col min="9451" max="9451" width="7.6328125" style="107" customWidth="1"/>
    <col min="9452" max="9452" width="12.54296875" style="107" customWidth="1"/>
    <col min="9453" max="9453" width="9.36328125" style="107" customWidth="1"/>
    <col min="9454" max="9454" width="9.90625" style="107" customWidth="1"/>
    <col min="9455" max="9455" width="10.36328125" style="107" bestFit="1" customWidth="1"/>
    <col min="9456" max="9456" width="11.90625" style="107" customWidth="1"/>
    <col min="9457" max="9457" width="10.54296875" style="107" customWidth="1"/>
    <col min="9458" max="9458" width="13.36328125" style="107" customWidth="1"/>
    <col min="9459" max="9460" width="10.54296875" style="107" customWidth="1"/>
    <col min="9461" max="9461" width="10.6328125" style="107" customWidth="1"/>
    <col min="9462" max="9462" width="12.08984375" style="107" customWidth="1"/>
    <col min="9463" max="9466" width="10.54296875" style="107" customWidth="1"/>
    <col min="9467" max="9467" width="12.08984375" style="107" bestFit="1" customWidth="1"/>
    <col min="9468" max="9468" width="10.54296875" style="107" customWidth="1"/>
    <col min="9469" max="9469" width="11.36328125" style="107" customWidth="1"/>
    <col min="9470" max="9470" width="14.36328125" style="107" bestFit="1" customWidth="1"/>
    <col min="9471" max="9706" width="8.90625" style="107"/>
    <col min="9707" max="9707" width="7.6328125" style="107" customWidth="1"/>
    <col min="9708" max="9708" width="12.54296875" style="107" customWidth="1"/>
    <col min="9709" max="9709" width="9.36328125" style="107" customWidth="1"/>
    <col min="9710" max="9710" width="9.90625" style="107" customWidth="1"/>
    <col min="9711" max="9711" width="10.36328125" style="107" bestFit="1" customWidth="1"/>
    <col min="9712" max="9712" width="11.90625" style="107" customWidth="1"/>
    <col min="9713" max="9713" width="10.54296875" style="107" customWidth="1"/>
    <col min="9714" max="9714" width="13.36328125" style="107" customWidth="1"/>
    <col min="9715" max="9716" width="10.54296875" style="107" customWidth="1"/>
    <col min="9717" max="9717" width="10.6328125" style="107" customWidth="1"/>
    <col min="9718" max="9718" width="12.08984375" style="107" customWidth="1"/>
    <col min="9719" max="9722" width="10.54296875" style="107" customWidth="1"/>
    <col min="9723" max="9723" width="12.08984375" style="107" bestFit="1" customWidth="1"/>
    <col min="9724" max="9724" width="10.54296875" style="107" customWidth="1"/>
    <col min="9725" max="9725" width="11.36328125" style="107" customWidth="1"/>
    <col min="9726" max="9726" width="14.36328125" style="107" bestFit="1" customWidth="1"/>
    <col min="9727" max="9962" width="8.90625" style="107"/>
    <col min="9963" max="9963" width="7.6328125" style="107" customWidth="1"/>
    <col min="9964" max="9964" width="12.54296875" style="107" customWidth="1"/>
    <col min="9965" max="9965" width="9.36328125" style="107" customWidth="1"/>
    <col min="9966" max="9966" width="9.90625" style="107" customWidth="1"/>
    <col min="9967" max="9967" width="10.36328125" style="107" bestFit="1" customWidth="1"/>
    <col min="9968" max="9968" width="11.90625" style="107" customWidth="1"/>
    <col min="9969" max="9969" width="10.54296875" style="107" customWidth="1"/>
    <col min="9970" max="9970" width="13.36328125" style="107" customWidth="1"/>
    <col min="9971" max="9972" width="10.54296875" style="107" customWidth="1"/>
    <col min="9973" max="9973" width="10.6328125" style="107" customWidth="1"/>
    <col min="9974" max="9974" width="12.08984375" style="107" customWidth="1"/>
    <col min="9975" max="9978" width="10.54296875" style="107" customWidth="1"/>
    <col min="9979" max="9979" width="12.08984375" style="107" bestFit="1" customWidth="1"/>
    <col min="9980" max="9980" width="10.54296875" style="107" customWidth="1"/>
    <col min="9981" max="9981" width="11.36328125" style="107" customWidth="1"/>
    <col min="9982" max="9982" width="14.36328125" style="107" bestFit="1" customWidth="1"/>
    <col min="9983" max="10218" width="8.90625" style="107"/>
    <col min="10219" max="10219" width="7.6328125" style="107" customWidth="1"/>
    <col min="10220" max="10220" width="12.54296875" style="107" customWidth="1"/>
    <col min="10221" max="10221" width="9.36328125" style="107" customWidth="1"/>
    <col min="10222" max="10222" width="9.90625" style="107" customWidth="1"/>
    <col min="10223" max="10223" width="10.36328125" style="107" bestFit="1" customWidth="1"/>
    <col min="10224" max="10224" width="11.90625" style="107" customWidth="1"/>
    <col min="10225" max="10225" width="10.54296875" style="107" customWidth="1"/>
    <col min="10226" max="10226" width="13.36328125" style="107" customWidth="1"/>
    <col min="10227" max="10228" width="10.54296875" style="107" customWidth="1"/>
    <col min="10229" max="10229" width="10.6328125" style="107" customWidth="1"/>
    <col min="10230" max="10230" width="12.08984375" style="107" customWidth="1"/>
    <col min="10231" max="10234" width="10.54296875" style="107" customWidth="1"/>
    <col min="10235" max="10235" width="12.08984375" style="107" bestFit="1" customWidth="1"/>
    <col min="10236" max="10236" width="10.54296875" style="107" customWidth="1"/>
    <col min="10237" max="10237" width="11.36328125" style="107" customWidth="1"/>
    <col min="10238" max="10238" width="14.36328125" style="107" bestFit="1" customWidth="1"/>
    <col min="10239" max="10474" width="8.90625" style="107"/>
    <col min="10475" max="10475" width="7.6328125" style="107" customWidth="1"/>
    <col min="10476" max="10476" width="12.54296875" style="107" customWidth="1"/>
    <col min="10477" max="10477" width="9.36328125" style="107" customWidth="1"/>
    <col min="10478" max="10478" width="9.90625" style="107" customWidth="1"/>
    <col min="10479" max="10479" width="10.36328125" style="107" bestFit="1" customWidth="1"/>
    <col min="10480" max="10480" width="11.90625" style="107" customWidth="1"/>
    <col min="10481" max="10481" width="10.54296875" style="107" customWidth="1"/>
    <col min="10482" max="10482" width="13.36328125" style="107" customWidth="1"/>
    <col min="10483" max="10484" width="10.54296875" style="107" customWidth="1"/>
    <col min="10485" max="10485" width="10.6328125" style="107" customWidth="1"/>
    <col min="10486" max="10486" width="12.08984375" style="107" customWidth="1"/>
    <col min="10487" max="10490" width="10.54296875" style="107" customWidth="1"/>
    <col min="10491" max="10491" width="12.08984375" style="107" bestFit="1" customWidth="1"/>
    <col min="10492" max="10492" width="10.54296875" style="107" customWidth="1"/>
    <col min="10493" max="10493" width="11.36328125" style="107" customWidth="1"/>
    <col min="10494" max="10494" width="14.36328125" style="107" bestFit="1" customWidth="1"/>
    <col min="10495" max="10730" width="8.90625" style="107"/>
    <col min="10731" max="10731" width="7.6328125" style="107" customWidth="1"/>
    <col min="10732" max="10732" width="12.54296875" style="107" customWidth="1"/>
    <col min="10733" max="10733" width="9.36328125" style="107" customWidth="1"/>
    <col min="10734" max="10734" width="9.90625" style="107" customWidth="1"/>
    <col min="10735" max="10735" width="10.36328125" style="107" bestFit="1" customWidth="1"/>
    <col min="10736" max="10736" width="11.90625" style="107" customWidth="1"/>
    <col min="10737" max="10737" width="10.54296875" style="107" customWidth="1"/>
    <col min="10738" max="10738" width="13.36328125" style="107" customWidth="1"/>
    <col min="10739" max="10740" width="10.54296875" style="107" customWidth="1"/>
    <col min="10741" max="10741" width="10.6328125" style="107" customWidth="1"/>
    <col min="10742" max="10742" width="12.08984375" style="107" customWidth="1"/>
    <col min="10743" max="10746" width="10.54296875" style="107" customWidth="1"/>
    <col min="10747" max="10747" width="12.08984375" style="107" bestFit="1" customWidth="1"/>
    <col min="10748" max="10748" width="10.54296875" style="107" customWidth="1"/>
    <col min="10749" max="10749" width="11.36328125" style="107" customWidth="1"/>
    <col min="10750" max="10750" width="14.36328125" style="107" bestFit="1" customWidth="1"/>
    <col min="10751" max="10986" width="8.90625" style="107"/>
    <col min="10987" max="10987" width="7.6328125" style="107" customWidth="1"/>
    <col min="10988" max="10988" width="12.54296875" style="107" customWidth="1"/>
    <col min="10989" max="10989" width="9.36328125" style="107" customWidth="1"/>
    <col min="10990" max="10990" width="9.90625" style="107" customWidth="1"/>
    <col min="10991" max="10991" width="10.36328125" style="107" bestFit="1" customWidth="1"/>
    <col min="10992" max="10992" width="11.90625" style="107" customWidth="1"/>
    <col min="10993" max="10993" width="10.54296875" style="107" customWidth="1"/>
    <col min="10994" max="10994" width="13.36328125" style="107" customWidth="1"/>
    <col min="10995" max="10996" width="10.54296875" style="107" customWidth="1"/>
    <col min="10997" max="10997" width="10.6328125" style="107" customWidth="1"/>
    <col min="10998" max="10998" width="12.08984375" style="107" customWidth="1"/>
    <col min="10999" max="11002" width="10.54296875" style="107" customWidth="1"/>
    <col min="11003" max="11003" width="12.08984375" style="107" bestFit="1" customWidth="1"/>
    <col min="11004" max="11004" width="10.54296875" style="107" customWidth="1"/>
    <col min="11005" max="11005" width="11.36328125" style="107" customWidth="1"/>
    <col min="11006" max="11006" width="14.36328125" style="107" bestFit="1" customWidth="1"/>
    <col min="11007" max="11242" width="8.90625" style="107"/>
    <col min="11243" max="11243" width="7.6328125" style="107" customWidth="1"/>
    <col min="11244" max="11244" width="12.54296875" style="107" customWidth="1"/>
    <col min="11245" max="11245" width="9.36328125" style="107" customWidth="1"/>
    <col min="11246" max="11246" width="9.90625" style="107" customWidth="1"/>
    <col min="11247" max="11247" width="10.36328125" style="107" bestFit="1" customWidth="1"/>
    <col min="11248" max="11248" width="11.90625" style="107" customWidth="1"/>
    <col min="11249" max="11249" width="10.54296875" style="107" customWidth="1"/>
    <col min="11250" max="11250" width="13.36328125" style="107" customWidth="1"/>
    <col min="11251" max="11252" width="10.54296875" style="107" customWidth="1"/>
    <col min="11253" max="11253" width="10.6328125" style="107" customWidth="1"/>
    <col min="11254" max="11254" width="12.08984375" style="107" customWidth="1"/>
    <col min="11255" max="11258" width="10.54296875" style="107" customWidth="1"/>
    <col min="11259" max="11259" width="12.08984375" style="107" bestFit="1" customWidth="1"/>
    <col min="11260" max="11260" width="10.54296875" style="107" customWidth="1"/>
    <col min="11261" max="11261" width="11.36328125" style="107" customWidth="1"/>
    <col min="11262" max="11262" width="14.36328125" style="107" bestFit="1" customWidth="1"/>
    <col min="11263" max="11498" width="8.90625" style="107"/>
    <col min="11499" max="11499" width="7.6328125" style="107" customWidth="1"/>
    <col min="11500" max="11500" width="12.54296875" style="107" customWidth="1"/>
    <col min="11501" max="11501" width="9.36328125" style="107" customWidth="1"/>
    <col min="11502" max="11502" width="9.90625" style="107" customWidth="1"/>
    <col min="11503" max="11503" width="10.36328125" style="107" bestFit="1" customWidth="1"/>
    <col min="11504" max="11504" width="11.90625" style="107" customWidth="1"/>
    <col min="11505" max="11505" width="10.54296875" style="107" customWidth="1"/>
    <col min="11506" max="11506" width="13.36328125" style="107" customWidth="1"/>
    <col min="11507" max="11508" width="10.54296875" style="107" customWidth="1"/>
    <col min="11509" max="11509" width="10.6328125" style="107" customWidth="1"/>
    <col min="11510" max="11510" width="12.08984375" style="107" customWidth="1"/>
    <col min="11511" max="11514" width="10.54296875" style="107" customWidth="1"/>
    <col min="11515" max="11515" width="12.08984375" style="107" bestFit="1" customWidth="1"/>
    <col min="11516" max="11516" width="10.54296875" style="107" customWidth="1"/>
    <col min="11517" max="11517" width="11.36328125" style="107" customWidth="1"/>
    <col min="11518" max="11518" width="14.36328125" style="107" bestFit="1" customWidth="1"/>
    <col min="11519" max="11754" width="8.90625" style="107"/>
    <col min="11755" max="11755" width="7.6328125" style="107" customWidth="1"/>
    <col min="11756" max="11756" width="12.54296875" style="107" customWidth="1"/>
    <col min="11757" max="11757" width="9.36328125" style="107" customWidth="1"/>
    <col min="11758" max="11758" width="9.90625" style="107" customWidth="1"/>
    <col min="11759" max="11759" width="10.36328125" style="107" bestFit="1" customWidth="1"/>
    <col min="11760" max="11760" width="11.90625" style="107" customWidth="1"/>
    <col min="11761" max="11761" width="10.54296875" style="107" customWidth="1"/>
    <col min="11762" max="11762" width="13.36328125" style="107" customWidth="1"/>
    <col min="11763" max="11764" width="10.54296875" style="107" customWidth="1"/>
    <col min="11765" max="11765" width="10.6328125" style="107" customWidth="1"/>
    <col min="11766" max="11766" width="12.08984375" style="107" customWidth="1"/>
    <col min="11767" max="11770" width="10.54296875" style="107" customWidth="1"/>
    <col min="11771" max="11771" width="12.08984375" style="107" bestFit="1" customWidth="1"/>
    <col min="11772" max="11772" width="10.54296875" style="107" customWidth="1"/>
    <col min="11773" max="11773" width="11.36328125" style="107" customWidth="1"/>
    <col min="11774" max="11774" width="14.36328125" style="107" bestFit="1" customWidth="1"/>
    <col min="11775" max="12010" width="8.90625" style="107"/>
    <col min="12011" max="12011" width="7.6328125" style="107" customWidth="1"/>
    <col min="12012" max="12012" width="12.54296875" style="107" customWidth="1"/>
    <col min="12013" max="12013" width="9.36328125" style="107" customWidth="1"/>
    <col min="12014" max="12014" width="9.90625" style="107" customWidth="1"/>
    <col min="12015" max="12015" width="10.36328125" style="107" bestFit="1" customWidth="1"/>
    <col min="12016" max="12016" width="11.90625" style="107" customWidth="1"/>
    <col min="12017" max="12017" width="10.54296875" style="107" customWidth="1"/>
    <col min="12018" max="12018" width="13.36328125" style="107" customWidth="1"/>
    <col min="12019" max="12020" width="10.54296875" style="107" customWidth="1"/>
    <col min="12021" max="12021" width="10.6328125" style="107" customWidth="1"/>
    <col min="12022" max="12022" width="12.08984375" style="107" customWidth="1"/>
    <col min="12023" max="12026" width="10.54296875" style="107" customWidth="1"/>
    <col min="12027" max="12027" width="12.08984375" style="107" bestFit="1" customWidth="1"/>
    <col min="12028" max="12028" width="10.54296875" style="107" customWidth="1"/>
    <col min="12029" max="12029" width="11.36328125" style="107" customWidth="1"/>
    <col min="12030" max="12030" width="14.36328125" style="107" bestFit="1" customWidth="1"/>
    <col min="12031" max="12266" width="8.90625" style="107"/>
    <col min="12267" max="12267" width="7.6328125" style="107" customWidth="1"/>
    <col min="12268" max="12268" width="12.54296875" style="107" customWidth="1"/>
    <col min="12269" max="12269" width="9.36328125" style="107" customWidth="1"/>
    <col min="12270" max="12270" width="9.90625" style="107" customWidth="1"/>
    <col min="12271" max="12271" width="10.36328125" style="107" bestFit="1" customWidth="1"/>
    <col min="12272" max="12272" width="11.90625" style="107" customWidth="1"/>
    <col min="12273" max="12273" width="10.54296875" style="107" customWidth="1"/>
    <col min="12274" max="12274" width="13.36328125" style="107" customWidth="1"/>
    <col min="12275" max="12276" width="10.54296875" style="107" customWidth="1"/>
    <col min="12277" max="12277" width="10.6328125" style="107" customWidth="1"/>
    <col min="12278" max="12278" width="12.08984375" style="107" customWidth="1"/>
    <col min="12279" max="12282" width="10.54296875" style="107" customWidth="1"/>
    <col min="12283" max="12283" width="12.08984375" style="107" bestFit="1" customWidth="1"/>
    <col min="12284" max="12284" width="10.54296875" style="107" customWidth="1"/>
    <col min="12285" max="12285" width="11.36328125" style="107" customWidth="1"/>
    <col min="12286" max="12286" width="14.36328125" style="107" bestFit="1" customWidth="1"/>
    <col min="12287" max="12522" width="8.90625" style="107"/>
    <col min="12523" max="12523" width="7.6328125" style="107" customWidth="1"/>
    <col min="12524" max="12524" width="12.54296875" style="107" customWidth="1"/>
    <col min="12525" max="12525" width="9.36328125" style="107" customWidth="1"/>
    <col min="12526" max="12526" width="9.90625" style="107" customWidth="1"/>
    <col min="12527" max="12527" width="10.36328125" style="107" bestFit="1" customWidth="1"/>
    <col min="12528" max="12528" width="11.90625" style="107" customWidth="1"/>
    <col min="12529" max="12529" width="10.54296875" style="107" customWidth="1"/>
    <col min="12530" max="12530" width="13.36328125" style="107" customWidth="1"/>
    <col min="12531" max="12532" width="10.54296875" style="107" customWidth="1"/>
    <col min="12533" max="12533" width="10.6328125" style="107" customWidth="1"/>
    <col min="12534" max="12534" width="12.08984375" style="107" customWidth="1"/>
    <col min="12535" max="12538" width="10.54296875" style="107" customWidth="1"/>
    <col min="12539" max="12539" width="12.08984375" style="107" bestFit="1" customWidth="1"/>
    <col min="12540" max="12540" width="10.54296875" style="107" customWidth="1"/>
    <col min="12541" max="12541" width="11.36328125" style="107" customWidth="1"/>
    <col min="12542" max="12542" width="14.36328125" style="107" bestFit="1" customWidth="1"/>
    <col min="12543" max="12778" width="8.90625" style="107"/>
    <col min="12779" max="12779" width="7.6328125" style="107" customWidth="1"/>
    <col min="12780" max="12780" width="12.54296875" style="107" customWidth="1"/>
    <col min="12781" max="12781" width="9.36328125" style="107" customWidth="1"/>
    <col min="12782" max="12782" width="9.90625" style="107" customWidth="1"/>
    <col min="12783" max="12783" width="10.36328125" style="107" bestFit="1" customWidth="1"/>
    <col min="12784" max="12784" width="11.90625" style="107" customWidth="1"/>
    <col min="12785" max="12785" width="10.54296875" style="107" customWidth="1"/>
    <col min="12786" max="12786" width="13.36328125" style="107" customWidth="1"/>
    <col min="12787" max="12788" width="10.54296875" style="107" customWidth="1"/>
    <col min="12789" max="12789" width="10.6328125" style="107" customWidth="1"/>
    <col min="12790" max="12790" width="12.08984375" style="107" customWidth="1"/>
    <col min="12791" max="12794" width="10.54296875" style="107" customWidth="1"/>
    <col min="12795" max="12795" width="12.08984375" style="107" bestFit="1" customWidth="1"/>
    <col min="12796" max="12796" width="10.54296875" style="107" customWidth="1"/>
    <col min="12797" max="12797" width="11.36328125" style="107" customWidth="1"/>
    <col min="12798" max="12798" width="14.36328125" style="107" bestFit="1" customWidth="1"/>
    <col min="12799" max="13034" width="8.90625" style="107"/>
    <col min="13035" max="13035" width="7.6328125" style="107" customWidth="1"/>
    <col min="13036" max="13036" width="12.54296875" style="107" customWidth="1"/>
    <col min="13037" max="13037" width="9.36328125" style="107" customWidth="1"/>
    <col min="13038" max="13038" width="9.90625" style="107" customWidth="1"/>
    <col min="13039" max="13039" width="10.36328125" style="107" bestFit="1" customWidth="1"/>
    <col min="13040" max="13040" width="11.90625" style="107" customWidth="1"/>
    <col min="13041" max="13041" width="10.54296875" style="107" customWidth="1"/>
    <col min="13042" max="13042" width="13.36328125" style="107" customWidth="1"/>
    <col min="13043" max="13044" width="10.54296875" style="107" customWidth="1"/>
    <col min="13045" max="13045" width="10.6328125" style="107" customWidth="1"/>
    <col min="13046" max="13046" width="12.08984375" style="107" customWidth="1"/>
    <col min="13047" max="13050" width="10.54296875" style="107" customWidth="1"/>
    <col min="13051" max="13051" width="12.08984375" style="107" bestFit="1" customWidth="1"/>
    <col min="13052" max="13052" width="10.54296875" style="107" customWidth="1"/>
    <col min="13053" max="13053" width="11.36328125" style="107" customWidth="1"/>
    <col min="13054" max="13054" width="14.36328125" style="107" bestFit="1" customWidth="1"/>
    <col min="13055" max="13290" width="8.90625" style="107"/>
    <col min="13291" max="13291" width="7.6328125" style="107" customWidth="1"/>
    <col min="13292" max="13292" width="12.54296875" style="107" customWidth="1"/>
    <col min="13293" max="13293" width="9.36328125" style="107" customWidth="1"/>
    <col min="13294" max="13294" width="9.90625" style="107" customWidth="1"/>
    <col min="13295" max="13295" width="10.36328125" style="107" bestFit="1" customWidth="1"/>
    <col min="13296" max="13296" width="11.90625" style="107" customWidth="1"/>
    <col min="13297" max="13297" width="10.54296875" style="107" customWidth="1"/>
    <col min="13298" max="13298" width="13.36328125" style="107" customWidth="1"/>
    <col min="13299" max="13300" width="10.54296875" style="107" customWidth="1"/>
    <col min="13301" max="13301" width="10.6328125" style="107" customWidth="1"/>
    <col min="13302" max="13302" width="12.08984375" style="107" customWidth="1"/>
    <col min="13303" max="13306" width="10.54296875" style="107" customWidth="1"/>
    <col min="13307" max="13307" width="12.08984375" style="107" bestFit="1" customWidth="1"/>
    <col min="13308" max="13308" width="10.54296875" style="107" customWidth="1"/>
    <col min="13309" max="13309" width="11.36328125" style="107" customWidth="1"/>
    <col min="13310" max="13310" width="14.36328125" style="107" bestFit="1" customWidth="1"/>
    <col min="13311" max="13546" width="8.90625" style="107"/>
    <col min="13547" max="13547" width="7.6328125" style="107" customWidth="1"/>
    <col min="13548" max="13548" width="12.54296875" style="107" customWidth="1"/>
    <col min="13549" max="13549" width="9.36328125" style="107" customWidth="1"/>
    <col min="13550" max="13550" width="9.90625" style="107" customWidth="1"/>
    <col min="13551" max="13551" width="10.36328125" style="107" bestFit="1" customWidth="1"/>
    <col min="13552" max="13552" width="11.90625" style="107" customWidth="1"/>
    <col min="13553" max="13553" width="10.54296875" style="107" customWidth="1"/>
    <col min="13554" max="13554" width="13.36328125" style="107" customWidth="1"/>
    <col min="13555" max="13556" width="10.54296875" style="107" customWidth="1"/>
    <col min="13557" max="13557" width="10.6328125" style="107" customWidth="1"/>
    <col min="13558" max="13558" width="12.08984375" style="107" customWidth="1"/>
    <col min="13559" max="13562" width="10.54296875" style="107" customWidth="1"/>
    <col min="13563" max="13563" width="12.08984375" style="107" bestFit="1" customWidth="1"/>
    <col min="13564" max="13564" width="10.54296875" style="107" customWidth="1"/>
    <col min="13565" max="13565" width="11.36328125" style="107" customWidth="1"/>
    <col min="13566" max="13566" width="14.36328125" style="107" bestFit="1" customWidth="1"/>
    <col min="13567" max="13802" width="8.90625" style="107"/>
    <col min="13803" max="13803" width="7.6328125" style="107" customWidth="1"/>
    <col min="13804" max="13804" width="12.54296875" style="107" customWidth="1"/>
    <col min="13805" max="13805" width="9.36328125" style="107" customWidth="1"/>
    <col min="13806" max="13806" width="9.90625" style="107" customWidth="1"/>
    <col min="13807" max="13807" width="10.36328125" style="107" bestFit="1" customWidth="1"/>
    <col min="13808" max="13808" width="11.90625" style="107" customWidth="1"/>
    <col min="13809" max="13809" width="10.54296875" style="107" customWidth="1"/>
    <col min="13810" max="13810" width="13.36328125" style="107" customWidth="1"/>
    <col min="13811" max="13812" width="10.54296875" style="107" customWidth="1"/>
    <col min="13813" max="13813" width="10.6328125" style="107" customWidth="1"/>
    <col min="13814" max="13814" width="12.08984375" style="107" customWidth="1"/>
    <col min="13815" max="13818" width="10.54296875" style="107" customWidth="1"/>
    <col min="13819" max="13819" width="12.08984375" style="107" bestFit="1" customWidth="1"/>
    <col min="13820" max="13820" width="10.54296875" style="107" customWidth="1"/>
    <col min="13821" max="13821" width="11.36328125" style="107" customWidth="1"/>
    <col min="13822" max="13822" width="14.36328125" style="107" bestFit="1" customWidth="1"/>
    <col min="13823" max="14058" width="8.90625" style="107"/>
    <col min="14059" max="14059" width="7.6328125" style="107" customWidth="1"/>
    <col min="14060" max="14060" width="12.54296875" style="107" customWidth="1"/>
    <col min="14061" max="14061" width="9.36328125" style="107" customWidth="1"/>
    <col min="14062" max="14062" width="9.90625" style="107" customWidth="1"/>
    <col min="14063" max="14063" width="10.36328125" style="107" bestFit="1" customWidth="1"/>
    <col min="14064" max="14064" width="11.90625" style="107" customWidth="1"/>
    <col min="14065" max="14065" width="10.54296875" style="107" customWidth="1"/>
    <col min="14066" max="14066" width="13.36328125" style="107" customWidth="1"/>
    <col min="14067" max="14068" width="10.54296875" style="107" customWidth="1"/>
    <col min="14069" max="14069" width="10.6328125" style="107" customWidth="1"/>
    <col min="14070" max="14070" width="12.08984375" style="107" customWidth="1"/>
    <col min="14071" max="14074" width="10.54296875" style="107" customWidth="1"/>
    <col min="14075" max="14075" width="12.08984375" style="107" bestFit="1" customWidth="1"/>
    <col min="14076" max="14076" width="10.54296875" style="107" customWidth="1"/>
    <col min="14077" max="14077" width="11.36328125" style="107" customWidth="1"/>
    <col min="14078" max="14078" width="14.36328125" style="107" bestFit="1" customWidth="1"/>
    <col min="14079" max="14314" width="8.90625" style="107"/>
    <col min="14315" max="14315" width="7.6328125" style="107" customWidth="1"/>
    <col min="14316" max="14316" width="12.54296875" style="107" customWidth="1"/>
    <col min="14317" max="14317" width="9.36328125" style="107" customWidth="1"/>
    <col min="14318" max="14318" width="9.90625" style="107" customWidth="1"/>
    <col min="14319" max="14319" width="10.36328125" style="107" bestFit="1" customWidth="1"/>
    <col min="14320" max="14320" width="11.90625" style="107" customWidth="1"/>
    <col min="14321" max="14321" width="10.54296875" style="107" customWidth="1"/>
    <col min="14322" max="14322" width="13.36328125" style="107" customWidth="1"/>
    <col min="14323" max="14324" width="10.54296875" style="107" customWidth="1"/>
    <col min="14325" max="14325" width="10.6328125" style="107" customWidth="1"/>
    <col min="14326" max="14326" width="12.08984375" style="107" customWidth="1"/>
    <col min="14327" max="14330" width="10.54296875" style="107" customWidth="1"/>
    <col min="14331" max="14331" width="12.08984375" style="107" bestFit="1" customWidth="1"/>
    <col min="14332" max="14332" width="10.54296875" style="107" customWidth="1"/>
    <col min="14333" max="14333" width="11.36328125" style="107" customWidth="1"/>
    <col min="14334" max="14334" width="14.36328125" style="107" bestFit="1" customWidth="1"/>
    <col min="14335" max="14570" width="8.90625" style="107"/>
    <col min="14571" max="14571" width="7.6328125" style="107" customWidth="1"/>
    <col min="14572" max="14572" width="12.54296875" style="107" customWidth="1"/>
    <col min="14573" max="14573" width="9.36328125" style="107" customWidth="1"/>
    <col min="14574" max="14574" width="9.90625" style="107" customWidth="1"/>
    <col min="14575" max="14575" width="10.36328125" style="107" bestFit="1" customWidth="1"/>
    <col min="14576" max="14576" width="11.90625" style="107" customWidth="1"/>
    <col min="14577" max="14577" width="10.54296875" style="107" customWidth="1"/>
    <col min="14578" max="14578" width="13.36328125" style="107" customWidth="1"/>
    <col min="14579" max="14580" width="10.54296875" style="107" customWidth="1"/>
    <col min="14581" max="14581" width="10.6328125" style="107" customWidth="1"/>
    <col min="14582" max="14582" width="12.08984375" style="107" customWidth="1"/>
    <col min="14583" max="14586" width="10.54296875" style="107" customWidth="1"/>
    <col min="14587" max="14587" width="12.08984375" style="107" bestFit="1" customWidth="1"/>
    <col min="14588" max="14588" width="10.54296875" style="107" customWidth="1"/>
    <col min="14589" max="14589" width="11.36328125" style="107" customWidth="1"/>
    <col min="14590" max="14590" width="14.36328125" style="107" bestFit="1" customWidth="1"/>
    <col min="14591" max="14826" width="8.90625" style="107"/>
    <col min="14827" max="14827" width="7.6328125" style="107" customWidth="1"/>
    <col min="14828" max="14828" width="12.54296875" style="107" customWidth="1"/>
    <col min="14829" max="14829" width="9.36328125" style="107" customWidth="1"/>
    <col min="14830" max="14830" width="9.90625" style="107" customWidth="1"/>
    <col min="14831" max="14831" width="10.36328125" style="107" bestFit="1" customWidth="1"/>
    <col min="14832" max="14832" width="11.90625" style="107" customWidth="1"/>
    <col min="14833" max="14833" width="10.54296875" style="107" customWidth="1"/>
    <col min="14834" max="14834" width="13.36328125" style="107" customWidth="1"/>
    <col min="14835" max="14836" width="10.54296875" style="107" customWidth="1"/>
    <col min="14837" max="14837" width="10.6328125" style="107" customWidth="1"/>
    <col min="14838" max="14838" width="12.08984375" style="107" customWidth="1"/>
    <col min="14839" max="14842" width="10.54296875" style="107" customWidth="1"/>
    <col min="14843" max="14843" width="12.08984375" style="107" bestFit="1" customWidth="1"/>
    <col min="14844" max="14844" width="10.54296875" style="107" customWidth="1"/>
    <col min="14845" max="14845" width="11.36328125" style="107" customWidth="1"/>
    <col min="14846" max="14846" width="14.36328125" style="107" bestFit="1" customWidth="1"/>
    <col min="14847" max="15082" width="8.90625" style="107"/>
    <col min="15083" max="15083" width="7.6328125" style="107" customWidth="1"/>
    <col min="15084" max="15084" width="12.54296875" style="107" customWidth="1"/>
    <col min="15085" max="15085" width="9.36328125" style="107" customWidth="1"/>
    <col min="15086" max="15086" width="9.90625" style="107" customWidth="1"/>
    <col min="15087" max="15087" width="10.36328125" style="107" bestFit="1" customWidth="1"/>
    <col min="15088" max="15088" width="11.90625" style="107" customWidth="1"/>
    <col min="15089" max="15089" width="10.54296875" style="107" customWidth="1"/>
    <col min="15090" max="15090" width="13.36328125" style="107" customWidth="1"/>
    <col min="15091" max="15092" width="10.54296875" style="107" customWidth="1"/>
    <col min="15093" max="15093" width="10.6328125" style="107" customWidth="1"/>
    <col min="15094" max="15094" width="12.08984375" style="107" customWidth="1"/>
    <col min="15095" max="15098" width="10.54296875" style="107" customWidth="1"/>
    <col min="15099" max="15099" width="12.08984375" style="107" bestFit="1" customWidth="1"/>
    <col min="15100" max="15100" width="10.54296875" style="107" customWidth="1"/>
    <col min="15101" max="15101" width="11.36328125" style="107" customWidth="1"/>
    <col min="15102" max="15102" width="14.36328125" style="107" bestFit="1" customWidth="1"/>
    <col min="15103" max="15338" width="8.90625" style="107"/>
    <col min="15339" max="15339" width="7.6328125" style="107" customWidth="1"/>
    <col min="15340" max="15340" width="12.54296875" style="107" customWidth="1"/>
    <col min="15341" max="15341" width="9.36328125" style="107" customWidth="1"/>
    <col min="15342" max="15342" width="9.90625" style="107" customWidth="1"/>
    <col min="15343" max="15343" width="10.36328125" style="107" bestFit="1" customWidth="1"/>
    <col min="15344" max="15344" width="11.90625" style="107" customWidth="1"/>
    <col min="15345" max="15345" width="10.54296875" style="107" customWidth="1"/>
    <col min="15346" max="15346" width="13.36328125" style="107" customWidth="1"/>
    <col min="15347" max="15348" width="10.54296875" style="107" customWidth="1"/>
    <col min="15349" max="15349" width="10.6328125" style="107" customWidth="1"/>
    <col min="15350" max="15350" width="12.08984375" style="107" customWidth="1"/>
    <col min="15351" max="15354" width="10.54296875" style="107" customWidth="1"/>
    <col min="15355" max="15355" width="12.08984375" style="107" bestFit="1" customWidth="1"/>
    <col min="15356" max="15356" width="10.54296875" style="107" customWidth="1"/>
    <col min="15357" max="15357" width="11.36328125" style="107" customWidth="1"/>
    <col min="15358" max="15358" width="14.36328125" style="107" bestFit="1" customWidth="1"/>
    <col min="15359" max="15594" width="8.90625" style="107"/>
    <col min="15595" max="15595" width="7.6328125" style="107" customWidth="1"/>
    <col min="15596" max="15596" width="12.54296875" style="107" customWidth="1"/>
    <col min="15597" max="15597" width="9.36328125" style="107" customWidth="1"/>
    <col min="15598" max="15598" width="9.90625" style="107" customWidth="1"/>
    <col min="15599" max="15599" width="10.36328125" style="107" bestFit="1" customWidth="1"/>
    <col min="15600" max="15600" width="11.90625" style="107" customWidth="1"/>
    <col min="15601" max="15601" width="10.54296875" style="107" customWidth="1"/>
    <col min="15602" max="15602" width="13.36328125" style="107" customWidth="1"/>
    <col min="15603" max="15604" width="10.54296875" style="107" customWidth="1"/>
    <col min="15605" max="15605" width="10.6328125" style="107" customWidth="1"/>
    <col min="15606" max="15606" width="12.08984375" style="107" customWidth="1"/>
    <col min="15607" max="15610" width="10.54296875" style="107" customWidth="1"/>
    <col min="15611" max="15611" width="12.08984375" style="107" bestFit="1" customWidth="1"/>
    <col min="15612" max="15612" width="10.54296875" style="107" customWidth="1"/>
    <col min="15613" max="15613" width="11.36328125" style="107" customWidth="1"/>
    <col min="15614" max="15614" width="14.36328125" style="107" bestFit="1" customWidth="1"/>
    <col min="15615" max="15850" width="8.90625" style="107"/>
    <col min="15851" max="15851" width="7.6328125" style="107" customWidth="1"/>
    <col min="15852" max="15852" width="12.54296875" style="107" customWidth="1"/>
    <col min="15853" max="15853" width="9.36328125" style="107" customWidth="1"/>
    <col min="15854" max="15854" width="9.90625" style="107" customWidth="1"/>
    <col min="15855" max="15855" width="10.36328125" style="107" bestFit="1" customWidth="1"/>
    <col min="15856" max="15856" width="11.90625" style="107" customWidth="1"/>
    <col min="15857" max="15857" width="10.54296875" style="107" customWidth="1"/>
    <col min="15858" max="15858" width="13.36328125" style="107" customWidth="1"/>
    <col min="15859" max="15860" width="10.54296875" style="107" customWidth="1"/>
    <col min="15861" max="15861" width="10.6328125" style="107" customWidth="1"/>
    <col min="15862" max="15862" width="12.08984375" style="107" customWidth="1"/>
    <col min="15863" max="15866" width="10.54296875" style="107" customWidth="1"/>
    <col min="15867" max="15867" width="12.08984375" style="107" bestFit="1" customWidth="1"/>
    <col min="15868" max="15868" width="10.54296875" style="107" customWidth="1"/>
    <col min="15869" max="15869" width="11.36328125" style="107" customWidth="1"/>
    <col min="15870" max="15870" width="14.36328125" style="107" bestFit="1" customWidth="1"/>
    <col min="15871" max="16106" width="8.90625" style="107"/>
    <col min="16107" max="16107" width="7.6328125" style="107" customWidth="1"/>
    <col min="16108" max="16108" width="12.54296875" style="107" customWidth="1"/>
    <col min="16109" max="16109" width="9.36328125" style="107" customWidth="1"/>
    <col min="16110" max="16110" width="9.90625" style="107" customWidth="1"/>
    <col min="16111" max="16111" width="10.36328125" style="107" bestFit="1" customWidth="1"/>
    <col min="16112" max="16112" width="11.90625" style="107" customWidth="1"/>
    <col min="16113" max="16113" width="10.54296875" style="107" customWidth="1"/>
    <col min="16114" max="16114" width="13.36328125" style="107" customWidth="1"/>
    <col min="16115" max="16116" width="10.54296875" style="107" customWidth="1"/>
    <col min="16117" max="16117" width="10.6328125" style="107" customWidth="1"/>
    <col min="16118" max="16118" width="12.08984375" style="107" customWidth="1"/>
    <col min="16119" max="16122" width="10.54296875" style="107" customWidth="1"/>
    <col min="16123" max="16123" width="12.08984375" style="107" bestFit="1" customWidth="1"/>
    <col min="16124" max="16124" width="10.54296875" style="107" customWidth="1"/>
    <col min="16125" max="16125" width="11.36328125" style="107" customWidth="1"/>
    <col min="16126" max="16126" width="14.36328125" style="107" bestFit="1" customWidth="1"/>
    <col min="16127" max="16364" width="8.90625" style="107"/>
    <col min="16365" max="16384" width="9.08984375" style="107" customWidth="1"/>
  </cols>
  <sheetData>
    <row r="1" spans="1:11" s="106" customFormat="1" ht="50.4" customHeight="1" thickBot="1">
      <c r="A1" s="181" t="s">
        <v>110</v>
      </c>
      <c r="B1" s="181"/>
      <c r="C1" s="181"/>
      <c r="D1" s="181"/>
      <c r="E1" s="181"/>
      <c r="F1" s="181"/>
      <c r="G1" s="181"/>
      <c r="H1" s="181"/>
    </row>
    <row r="2" spans="1:11" ht="33.65" customHeight="1" thickBot="1">
      <c r="A2" s="77" t="s">
        <v>0</v>
      </c>
      <c r="B2" s="47" t="s">
        <v>103</v>
      </c>
      <c r="C2" s="78" t="s">
        <v>104</v>
      </c>
      <c r="D2" s="79" t="s">
        <v>105</v>
      </c>
      <c r="E2" s="79" t="s">
        <v>106</v>
      </c>
      <c r="F2" s="79" t="s">
        <v>107</v>
      </c>
      <c r="G2" s="79" t="s">
        <v>108</v>
      </c>
      <c r="H2" s="79" t="s">
        <v>109</v>
      </c>
      <c r="I2" s="106"/>
      <c r="J2" s="106"/>
      <c r="K2" s="106"/>
    </row>
    <row r="3" spans="1:11" ht="30" customHeight="1">
      <c r="A3" s="108">
        <v>1</v>
      </c>
      <c r="B3" s="109">
        <v>46359</v>
      </c>
      <c r="C3" s="92">
        <v>259801</v>
      </c>
      <c r="D3" s="92">
        <v>5460455</v>
      </c>
      <c r="E3" s="110">
        <v>53.4</v>
      </c>
      <c r="F3" s="111">
        <v>54</v>
      </c>
      <c r="G3" s="127">
        <v>55</v>
      </c>
      <c r="H3" s="128">
        <f>F3*G3</f>
        <v>2970</v>
      </c>
      <c r="I3" s="106"/>
      <c r="J3" s="106"/>
      <c r="K3" s="106"/>
    </row>
    <row r="4" spans="1:11" ht="30" customHeight="1">
      <c r="A4" s="113">
        <v>2</v>
      </c>
      <c r="B4" s="48">
        <v>46359</v>
      </c>
      <c r="C4" s="94">
        <v>259802</v>
      </c>
      <c r="D4" s="94">
        <v>5461824</v>
      </c>
      <c r="E4" s="114">
        <v>53.5</v>
      </c>
      <c r="F4" s="115">
        <v>54</v>
      </c>
      <c r="G4" s="125">
        <v>55</v>
      </c>
      <c r="H4" s="126">
        <f>F4*G4</f>
        <v>2970</v>
      </c>
      <c r="I4" s="106"/>
      <c r="J4" s="106"/>
      <c r="K4" s="106"/>
    </row>
    <row r="5" spans="1:11" ht="30" customHeight="1">
      <c r="A5" s="113">
        <v>3</v>
      </c>
      <c r="B5" s="48">
        <v>46359</v>
      </c>
      <c r="C5" s="94">
        <v>259803</v>
      </c>
      <c r="D5" s="94">
        <v>5461938</v>
      </c>
      <c r="E5" s="114">
        <v>53.4</v>
      </c>
      <c r="F5" s="115">
        <v>54</v>
      </c>
      <c r="G5" s="125">
        <v>55</v>
      </c>
      <c r="H5" s="126">
        <f t="shared" ref="H5:H54" si="0">F5*G5</f>
        <v>2970</v>
      </c>
      <c r="I5" s="106"/>
      <c r="J5" s="106"/>
      <c r="K5" s="106"/>
    </row>
    <row r="6" spans="1:11" ht="30" customHeight="1">
      <c r="A6" s="113">
        <v>4</v>
      </c>
      <c r="B6" s="48">
        <v>46359</v>
      </c>
      <c r="C6" s="94">
        <v>259804</v>
      </c>
      <c r="D6" s="94">
        <v>5461144</v>
      </c>
      <c r="E6" s="114">
        <v>51.6</v>
      </c>
      <c r="F6" s="115">
        <v>52</v>
      </c>
      <c r="G6" s="125">
        <v>55</v>
      </c>
      <c r="H6" s="126">
        <f t="shared" si="0"/>
        <v>2860</v>
      </c>
      <c r="I6" s="106"/>
      <c r="J6" s="106"/>
      <c r="K6" s="106"/>
    </row>
    <row r="7" spans="1:11" ht="30" customHeight="1">
      <c r="A7" s="113">
        <v>5</v>
      </c>
      <c r="B7" s="48">
        <v>46359</v>
      </c>
      <c r="C7" s="94">
        <v>259805</v>
      </c>
      <c r="D7" s="94">
        <v>5460868</v>
      </c>
      <c r="E7" s="114">
        <v>53.4</v>
      </c>
      <c r="F7" s="115">
        <v>54</v>
      </c>
      <c r="G7" s="125">
        <v>55</v>
      </c>
      <c r="H7" s="126">
        <f t="shared" si="0"/>
        <v>2970</v>
      </c>
      <c r="I7" s="106"/>
      <c r="J7" s="106"/>
      <c r="K7" s="106"/>
    </row>
    <row r="8" spans="1:11" ht="30" customHeight="1">
      <c r="A8" s="113">
        <v>6</v>
      </c>
      <c r="B8" s="48">
        <v>46359</v>
      </c>
      <c r="C8" s="94">
        <v>259806</v>
      </c>
      <c r="D8" s="94">
        <v>5460641</v>
      </c>
      <c r="E8" s="114">
        <v>51.6</v>
      </c>
      <c r="F8" s="115">
        <v>52</v>
      </c>
      <c r="G8" s="125">
        <v>55</v>
      </c>
      <c r="H8" s="126">
        <f t="shared" si="0"/>
        <v>2860</v>
      </c>
      <c r="I8" s="106"/>
      <c r="J8" s="106"/>
      <c r="K8" s="106"/>
    </row>
    <row r="9" spans="1:11" ht="30" customHeight="1">
      <c r="A9" s="113">
        <v>7</v>
      </c>
      <c r="B9" s="48">
        <v>46359</v>
      </c>
      <c r="C9" s="94">
        <v>427001</v>
      </c>
      <c r="D9" s="94">
        <v>5461105</v>
      </c>
      <c r="E9" s="114">
        <v>50.9</v>
      </c>
      <c r="F9" s="115">
        <v>51</v>
      </c>
      <c r="G9" s="125">
        <v>55</v>
      </c>
      <c r="H9" s="126">
        <f t="shared" si="0"/>
        <v>2805</v>
      </c>
      <c r="I9" s="106"/>
      <c r="J9" s="106"/>
      <c r="K9" s="106"/>
    </row>
    <row r="10" spans="1:11" ht="30" customHeight="1">
      <c r="A10" s="113">
        <v>8</v>
      </c>
      <c r="B10" s="48">
        <v>46359</v>
      </c>
      <c r="C10" s="94">
        <v>427002</v>
      </c>
      <c r="D10" s="94">
        <v>5460462</v>
      </c>
      <c r="E10" s="114">
        <v>53.4</v>
      </c>
      <c r="F10" s="115">
        <v>54</v>
      </c>
      <c r="G10" s="125">
        <v>55</v>
      </c>
      <c r="H10" s="126">
        <f t="shared" si="0"/>
        <v>2970</v>
      </c>
      <c r="I10" s="106"/>
      <c r="J10" s="106"/>
      <c r="K10" s="106"/>
    </row>
    <row r="11" spans="1:11" ht="30" customHeight="1">
      <c r="A11" s="113">
        <v>9</v>
      </c>
      <c r="B11" s="48">
        <v>46359</v>
      </c>
      <c r="C11" s="94">
        <v>427003</v>
      </c>
      <c r="D11" s="94">
        <v>5460277</v>
      </c>
      <c r="E11" s="114">
        <v>52.8</v>
      </c>
      <c r="F11" s="115">
        <v>53</v>
      </c>
      <c r="G11" s="125">
        <v>55</v>
      </c>
      <c r="H11" s="126">
        <f t="shared" si="0"/>
        <v>2915</v>
      </c>
      <c r="I11" s="106"/>
      <c r="J11" s="106"/>
      <c r="K11" s="106"/>
    </row>
    <row r="12" spans="1:11" ht="30" customHeight="1">
      <c r="A12" s="113">
        <v>10</v>
      </c>
      <c r="B12" s="48">
        <v>46359</v>
      </c>
      <c r="C12" s="94">
        <v>427005</v>
      </c>
      <c r="D12" s="94">
        <v>5460601</v>
      </c>
      <c r="E12" s="114">
        <v>52.9</v>
      </c>
      <c r="F12" s="115">
        <v>53</v>
      </c>
      <c r="G12" s="125">
        <v>55</v>
      </c>
      <c r="H12" s="126">
        <f t="shared" si="0"/>
        <v>2915</v>
      </c>
      <c r="I12" s="106"/>
      <c r="J12" s="106"/>
      <c r="K12" s="106"/>
    </row>
    <row r="13" spans="1:11" ht="30" customHeight="1">
      <c r="A13" s="113">
        <v>11</v>
      </c>
      <c r="B13" s="48">
        <v>46359</v>
      </c>
      <c r="C13" s="94">
        <v>427006</v>
      </c>
      <c r="D13" s="94">
        <v>5461817</v>
      </c>
      <c r="E13" s="114">
        <v>52.2</v>
      </c>
      <c r="F13" s="115">
        <v>53</v>
      </c>
      <c r="G13" s="125">
        <v>55</v>
      </c>
      <c r="H13" s="126">
        <f t="shared" si="0"/>
        <v>2915</v>
      </c>
      <c r="I13" s="106"/>
      <c r="J13" s="106"/>
      <c r="K13" s="106"/>
    </row>
    <row r="14" spans="1:11" ht="30" customHeight="1">
      <c r="A14" s="113">
        <v>12</v>
      </c>
      <c r="B14" s="48">
        <v>46359</v>
      </c>
      <c r="C14" s="94">
        <v>427008</v>
      </c>
      <c r="D14" s="94">
        <v>5461297</v>
      </c>
      <c r="E14" s="114">
        <v>53.7</v>
      </c>
      <c r="F14" s="115">
        <v>54</v>
      </c>
      <c r="G14" s="125">
        <v>55</v>
      </c>
      <c r="H14" s="126">
        <f t="shared" si="0"/>
        <v>2970</v>
      </c>
      <c r="I14" s="106"/>
      <c r="J14" s="106"/>
      <c r="K14" s="106"/>
    </row>
    <row r="15" spans="1:11" ht="30" customHeight="1">
      <c r="A15" s="113">
        <v>13</v>
      </c>
      <c r="B15" s="48">
        <v>46359</v>
      </c>
      <c r="C15" s="94">
        <v>259464</v>
      </c>
      <c r="D15" s="94">
        <v>559979</v>
      </c>
      <c r="E15" s="114">
        <v>49.1</v>
      </c>
      <c r="F15" s="115">
        <v>50</v>
      </c>
      <c r="G15" s="125">
        <v>55</v>
      </c>
      <c r="H15" s="126">
        <f t="shared" si="0"/>
        <v>2750</v>
      </c>
      <c r="I15" s="106"/>
      <c r="J15" s="106"/>
      <c r="K15" s="106"/>
    </row>
    <row r="16" spans="1:11" ht="30" customHeight="1">
      <c r="A16" s="113">
        <v>14</v>
      </c>
      <c r="B16" s="48">
        <v>46359</v>
      </c>
      <c r="C16" s="94">
        <v>259463</v>
      </c>
      <c r="D16" s="94">
        <v>559566</v>
      </c>
      <c r="E16" s="114">
        <v>49.6</v>
      </c>
      <c r="F16" s="115">
        <v>50</v>
      </c>
      <c r="G16" s="125">
        <v>55</v>
      </c>
      <c r="H16" s="126">
        <f t="shared" si="0"/>
        <v>2750</v>
      </c>
      <c r="I16" s="106"/>
      <c r="J16" s="106"/>
      <c r="K16" s="106"/>
    </row>
    <row r="17" spans="1:11" ht="30" customHeight="1">
      <c r="A17" s="113">
        <v>15</v>
      </c>
      <c r="B17" s="48">
        <v>46359</v>
      </c>
      <c r="C17" s="94">
        <v>259462</v>
      </c>
      <c r="D17" s="94">
        <v>5579872</v>
      </c>
      <c r="E17" s="114">
        <v>49.6</v>
      </c>
      <c r="F17" s="115">
        <v>50</v>
      </c>
      <c r="G17" s="125">
        <v>55</v>
      </c>
      <c r="H17" s="126">
        <f t="shared" si="0"/>
        <v>2750</v>
      </c>
      <c r="I17" s="106"/>
      <c r="J17" s="106"/>
      <c r="K17" s="106"/>
    </row>
    <row r="18" spans="1:11" ht="30" customHeight="1">
      <c r="A18" s="113">
        <v>16</v>
      </c>
      <c r="B18" s="48">
        <v>46359</v>
      </c>
      <c r="C18" s="94">
        <v>259461</v>
      </c>
      <c r="D18" s="94">
        <v>5579986</v>
      </c>
      <c r="E18" s="114">
        <v>48.2</v>
      </c>
      <c r="F18" s="115">
        <v>49</v>
      </c>
      <c r="G18" s="125">
        <v>55</v>
      </c>
      <c r="H18" s="126">
        <f t="shared" si="0"/>
        <v>2695</v>
      </c>
      <c r="I18" s="106"/>
      <c r="J18" s="106"/>
      <c r="K18" s="106"/>
    </row>
    <row r="19" spans="1:11" ht="30" customHeight="1">
      <c r="A19" s="113">
        <v>17</v>
      </c>
      <c r="B19" s="48">
        <v>46359</v>
      </c>
      <c r="C19" s="94">
        <v>259460</v>
      </c>
      <c r="D19" s="94">
        <v>5570364</v>
      </c>
      <c r="E19" s="114">
        <v>48.8</v>
      </c>
      <c r="F19" s="115">
        <v>49</v>
      </c>
      <c r="G19" s="125">
        <v>55</v>
      </c>
      <c r="H19" s="126">
        <f t="shared" si="0"/>
        <v>2695</v>
      </c>
      <c r="I19" s="106"/>
      <c r="J19" s="106"/>
      <c r="K19" s="106"/>
    </row>
    <row r="20" spans="1:11" ht="30" customHeight="1">
      <c r="A20" s="113">
        <v>18</v>
      </c>
      <c r="B20" s="48">
        <v>46359</v>
      </c>
      <c r="C20" s="94">
        <v>259459</v>
      </c>
      <c r="D20" s="94">
        <v>5572319</v>
      </c>
      <c r="E20" s="114">
        <v>46.2</v>
      </c>
      <c r="F20" s="115">
        <v>47</v>
      </c>
      <c r="G20" s="125">
        <v>55</v>
      </c>
      <c r="H20" s="126">
        <f t="shared" si="0"/>
        <v>2585</v>
      </c>
      <c r="I20" s="106"/>
      <c r="J20" s="106"/>
      <c r="K20" s="106"/>
    </row>
    <row r="21" spans="1:11" ht="30" customHeight="1">
      <c r="A21" s="113">
        <v>19</v>
      </c>
      <c r="B21" s="48">
        <v>46359</v>
      </c>
      <c r="C21" s="94">
        <v>259458</v>
      </c>
      <c r="D21" s="94">
        <v>5579922</v>
      </c>
      <c r="E21" s="114">
        <v>48.9</v>
      </c>
      <c r="F21" s="115">
        <v>49</v>
      </c>
      <c r="G21" s="125">
        <v>55</v>
      </c>
      <c r="H21" s="126">
        <f t="shared" si="0"/>
        <v>2695</v>
      </c>
      <c r="I21" s="106"/>
      <c r="J21" s="106"/>
      <c r="K21" s="106"/>
    </row>
    <row r="22" spans="1:11" ht="30" customHeight="1">
      <c r="A22" s="113">
        <v>20</v>
      </c>
      <c r="B22" s="48">
        <v>46359</v>
      </c>
      <c r="C22" s="94">
        <v>259457</v>
      </c>
      <c r="D22" s="94">
        <v>5572148</v>
      </c>
      <c r="E22" s="114">
        <v>49.6</v>
      </c>
      <c r="F22" s="115">
        <v>50</v>
      </c>
      <c r="G22" s="125">
        <v>55</v>
      </c>
      <c r="H22" s="126">
        <f t="shared" si="0"/>
        <v>2750</v>
      </c>
      <c r="I22" s="106"/>
      <c r="J22" s="106"/>
      <c r="K22" s="106"/>
    </row>
    <row r="23" spans="1:11" ht="30" customHeight="1">
      <c r="A23" s="113">
        <v>21</v>
      </c>
      <c r="B23" s="48">
        <v>46359</v>
      </c>
      <c r="C23" s="94">
        <v>259456</v>
      </c>
      <c r="D23" s="94">
        <v>5570923</v>
      </c>
      <c r="E23" s="114">
        <v>51.4</v>
      </c>
      <c r="F23" s="115">
        <v>52</v>
      </c>
      <c r="G23" s="125">
        <v>55</v>
      </c>
      <c r="H23" s="126">
        <f t="shared" si="0"/>
        <v>2860</v>
      </c>
      <c r="I23" s="106"/>
      <c r="J23" s="106"/>
      <c r="K23" s="106"/>
    </row>
    <row r="24" spans="1:11" ht="30" customHeight="1">
      <c r="A24" s="113">
        <v>22</v>
      </c>
      <c r="B24" s="48">
        <v>46359</v>
      </c>
      <c r="C24" s="94">
        <v>259455</v>
      </c>
      <c r="D24" s="94">
        <v>5570649</v>
      </c>
      <c r="E24" s="114">
        <v>50.2</v>
      </c>
      <c r="F24" s="115">
        <v>51</v>
      </c>
      <c r="G24" s="125">
        <v>55</v>
      </c>
      <c r="H24" s="126">
        <f t="shared" si="0"/>
        <v>2805</v>
      </c>
      <c r="I24" s="106"/>
      <c r="J24" s="106"/>
      <c r="K24" s="106"/>
    </row>
    <row r="25" spans="1:11" ht="30" customHeight="1">
      <c r="A25" s="113">
        <v>23</v>
      </c>
      <c r="B25" s="48">
        <v>46359</v>
      </c>
      <c r="C25" s="94">
        <v>259454</v>
      </c>
      <c r="D25" s="94">
        <v>5570962</v>
      </c>
      <c r="E25" s="114">
        <v>49.8</v>
      </c>
      <c r="F25" s="115">
        <v>50</v>
      </c>
      <c r="G25" s="125">
        <v>55</v>
      </c>
      <c r="H25" s="126">
        <f t="shared" si="0"/>
        <v>2750</v>
      </c>
      <c r="I25" s="106"/>
      <c r="J25" s="106"/>
      <c r="K25" s="106"/>
    </row>
    <row r="26" spans="1:11" ht="30" customHeight="1">
      <c r="A26" s="113">
        <v>24</v>
      </c>
      <c r="B26" s="48">
        <v>46359</v>
      </c>
      <c r="C26" s="94">
        <v>259453</v>
      </c>
      <c r="D26" s="94">
        <v>5579502</v>
      </c>
      <c r="E26" s="114">
        <v>49.3</v>
      </c>
      <c r="F26" s="115">
        <v>50</v>
      </c>
      <c r="G26" s="125">
        <v>55</v>
      </c>
      <c r="H26" s="126">
        <f t="shared" si="0"/>
        <v>2750</v>
      </c>
      <c r="I26" s="106"/>
      <c r="J26" s="106"/>
      <c r="K26" s="106"/>
    </row>
    <row r="27" spans="1:11" ht="30" customHeight="1">
      <c r="A27" s="113">
        <v>25</v>
      </c>
      <c r="B27" s="48">
        <v>46359</v>
      </c>
      <c r="C27" s="94">
        <v>259452</v>
      </c>
      <c r="D27" s="94">
        <v>5571498</v>
      </c>
      <c r="E27" s="114">
        <v>48.7</v>
      </c>
      <c r="F27" s="115">
        <v>49</v>
      </c>
      <c r="G27" s="125">
        <v>55</v>
      </c>
      <c r="H27" s="126">
        <f t="shared" si="0"/>
        <v>2695</v>
      </c>
      <c r="I27" s="106"/>
      <c r="J27" s="106"/>
      <c r="K27" s="106"/>
    </row>
    <row r="28" spans="1:11" ht="30" customHeight="1">
      <c r="A28" s="113">
        <v>26</v>
      </c>
      <c r="B28" s="48">
        <v>46359</v>
      </c>
      <c r="C28" s="94">
        <v>259451</v>
      </c>
      <c r="D28" s="94">
        <v>5570535</v>
      </c>
      <c r="E28" s="114">
        <v>46</v>
      </c>
      <c r="F28" s="115">
        <v>46</v>
      </c>
      <c r="G28" s="125">
        <v>55</v>
      </c>
      <c r="H28" s="126">
        <f t="shared" si="0"/>
        <v>2530</v>
      </c>
      <c r="I28" s="106"/>
      <c r="J28" s="106"/>
      <c r="K28" s="106"/>
    </row>
    <row r="29" spans="1:11" ht="30" customHeight="1">
      <c r="A29" s="113">
        <v>27</v>
      </c>
      <c r="B29" s="48">
        <v>46359</v>
      </c>
      <c r="C29" s="94">
        <v>259772</v>
      </c>
      <c r="D29" s="94">
        <v>5446669</v>
      </c>
      <c r="E29" s="114">
        <v>52.3</v>
      </c>
      <c r="F29" s="115">
        <v>53</v>
      </c>
      <c r="G29" s="125">
        <v>55</v>
      </c>
      <c r="H29" s="126">
        <f t="shared" si="0"/>
        <v>2915</v>
      </c>
      <c r="I29" s="106"/>
      <c r="J29" s="106"/>
      <c r="K29" s="106"/>
    </row>
    <row r="30" spans="1:11" ht="30" customHeight="1">
      <c r="A30" s="113">
        <v>28</v>
      </c>
      <c r="B30" s="48">
        <v>46359</v>
      </c>
      <c r="C30" s="94">
        <v>259769</v>
      </c>
      <c r="D30" s="94">
        <v>5446822</v>
      </c>
      <c r="E30" s="114">
        <v>51</v>
      </c>
      <c r="F30" s="115">
        <v>51</v>
      </c>
      <c r="G30" s="125">
        <v>55</v>
      </c>
      <c r="H30" s="126">
        <f t="shared" si="0"/>
        <v>2805</v>
      </c>
      <c r="I30" s="106"/>
      <c r="J30" s="106"/>
      <c r="K30" s="106"/>
    </row>
    <row r="31" spans="1:11" ht="30" customHeight="1">
      <c r="A31" s="113">
        <v>29</v>
      </c>
      <c r="B31" s="48">
        <v>46359</v>
      </c>
      <c r="C31" s="94">
        <v>259770</v>
      </c>
      <c r="D31" s="94">
        <v>5446676</v>
      </c>
      <c r="E31" s="114">
        <v>50.1</v>
      </c>
      <c r="F31" s="115">
        <v>51</v>
      </c>
      <c r="G31" s="125">
        <v>55</v>
      </c>
      <c r="H31" s="126">
        <f t="shared" si="0"/>
        <v>2805</v>
      </c>
      <c r="I31" s="106"/>
      <c r="J31" s="106"/>
      <c r="K31" s="106"/>
    </row>
    <row r="32" spans="1:11" ht="30" customHeight="1">
      <c r="A32" s="113">
        <v>30</v>
      </c>
      <c r="B32" s="48">
        <v>46359</v>
      </c>
      <c r="C32" s="94">
        <v>259771</v>
      </c>
      <c r="D32" s="94">
        <v>5446135</v>
      </c>
      <c r="E32" s="114">
        <v>52.3</v>
      </c>
      <c r="F32" s="115">
        <v>53</v>
      </c>
      <c r="G32" s="125">
        <v>55</v>
      </c>
      <c r="H32" s="126">
        <f t="shared" si="0"/>
        <v>2915</v>
      </c>
      <c r="I32" s="106"/>
      <c r="J32" s="106"/>
      <c r="K32" s="106"/>
    </row>
    <row r="33" spans="1:11" ht="30" customHeight="1">
      <c r="A33" s="113">
        <v>31</v>
      </c>
      <c r="B33" s="48">
        <v>46359</v>
      </c>
      <c r="C33" s="94">
        <v>259768</v>
      </c>
      <c r="D33" s="94">
        <v>5445962</v>
      </c>
      <c r="E33" s="114">
        <v>52</v>
      </c>
      <c r="F33" s="115">
        <v>52</v>
      </c>
      <c r="G33" s="125">
        <v>55</v>
      </c>
      <c r="H33" s="126">
        <f t="shared" si="0"/>
        <v>2860</v>
      </c>
      <c r="I33" s="106"/>
      <c r="J33" s="106"/>
      <c r="K33" s="106"/>
    </row>
    <row r="34" spans="1:11" ht="30" customHeight="1">
      <c r="A34" s="113">
        <v>32</v>
      </c>
      <c r="B34" s="48">
        <v>46359</v>
      </c>
      <c r="C34" s="94">
        <v>259767</v>
      </c>
      <c r="D34" s="94">
        <v>5578806</v>
      </c>
      <c r="E34" s="114">
        <v>49</v>
      </c>
      <c r="F34" s="115">
        <v>49</v>
      </c>
      <c r="G34" s="125">
        <v>55</v>
      </c>
      <c r="H34" s="126">
        <f t="shared" si="0"/>
        <v>2695</v>
      </c>
      <c r="I34" s="106"/>
      <c r="J34" s="106"/>
      <c r="K34" s="106"/>
    </row>
    <row r="35" spans="1:11" ht="30" customHeight="1">
      <c r="A35" s="113">
        <v>33</v>
      </c>
      <c r="B35" s="48">
        <v>46359</v>
      </c>
      <c r="C35" s="94">
        <v>259766</v>
      </c>
      <c r="D35" s="94">
        <v>5446772</v>
      </c>
      <c r="E35" s="114">
        <v>52</v>
      </c>
      <c r="F35" s="115">
        <v>52</v>
      </c>
      <c r="G35" s="125">
        <v>55</v>
      </c>
      <c r="H35" s="126">
        <f t="shared" si="0"/>
        <v>2860</v>
      </c>
      <c r="I35" s="106"/>
      <c r="J35" s="106"/>
      <c r="K35" s="106"/>
    </row>
    <row r="36" spans="1:11" ht="30" customHeight="1">
      <c r="A36" s="113">
        <v>34</v>
      </c>
      <c r="B36" s="48">
        <v>46359</v>
      </c>
      <c r="C36" s="94">
        <v>259763</v>
      </c>
      <c r="D36" s="94">
        <v>5446719</v>
      </c>
      <c r="E36" s="114">
        <v>50.7</v>
      </c>
      <c r="F36" s="115">
        <v>51</v>
      </c>
      <c r="G36" s="125">
        <v>55</v>
      </c>
      <c r="H36" s="126">
        <f t="shared" si="0"/>
        <v>2805</v>
      </c>
      <c r="I36" s="106"/>
      <c r="J36" s="106"/>
      <c r="K36" s="106"/>
    </row>
    <row r="37" spans="1:11" ht="30" customHeight="1">
      <c r="A37" s="113">
        <v>35</v>
      </c>
      <c r="B37" s="48">
        <v>46359</v>
      </c>
      <c r="C37" s="94">
        <v>259764</v>
      </c>
      <c r="D37" s="94">
        <v>5445624</v>
      </c>
      <c r="E37" s="114">
        <v>49.4</v>
      </c>
      <c r="F37" s="115">
        <v>50</v>
      </c>
      <c r="G37" s="125">
        <v>55</v>
      </c>
      <c r="H37" s="126">
        <f t="shared" si="0"/>
        <v>2750</v>
      </c>
      <c r="I37" s="106"/>
      <c r="J37" s="106"/>
      <c r="K37" s="106"/>
    </row>
    <row r="38" spans="1:11" ht="30" customHeight="1">
      <c r="A38" s="113">
        <v>36</v>
      </c>
      <c r="B38" s="48">
        <v>46359</v>
      </c>
      <c r="C38" s="94">
        <v>259765</v>
      </c>
      <c r="D38" s="94">
        <v>5444637</v>
      </c>
      <c r="E38" s="114">
        <v>53.8</v>
      </c>
      <c r="F38" s="115">
        <v>54</v>
      </c>
      <c r="G38" s="125">
        <v>55</v>
      </c>
      <c r="H38" s="126">
        <f t="shared" si="0"/>
        <v>2970</v>
      </c>
      <c r="I38" s="106"/>
      <c r="J38" s="106"/>
      <c r="K38" s="106"/>
    </row>
    <row r="39" spans="1:11" ht="30" customHeight="1">
      <c r="A39" s="113">
        <v>37</v>
      </c>
      <c r="B39" s="48">
        <v>46359</v>
      </c>
      <c r="C39" s="94">
        <v>259762</v>
      </c>
      <c r="D39" s="94">
        <v>5446936</v>
      </c>
      <c r="E39" s="114">
        <v>52.6</v>
      </c>
      <c r="F39" s="115">
        <v>53</v>
      </c>
      <c r="G39" s="125">
        <v>55</v>
      </c>
      <c r="H39" s="126">
        <f t="shared" si="0"/>
        <v>2915</v>
      </c>
      <c r="I39" s="106"/>
      <c r="J39" s="106"/>
      <c r="K39" s="106"/>
    </row>
    <row r="40" spans="1:11" ht="30" customHeight="1">
      <c r="A40" s="113">
        <v>38</v>
      </c>
      <c r="B40" s="48">
        <v>46359</v>
      </c>
      <c r="C40" s="94">
        <v>259749</v>
      </c>
      <c r="D40" s="94">
        <v>5445147</v>
      </c>
      <c r="E40" s="114">
        <v>55.3</v>
      </c>
      <c r="F40" s="115">
        <v>56</v>
      </c>
      <c r="G40" s="125">
        <v>55</v>
      </c>
      <c r="H40" s="126">
        <f t="shared" si="0"/>
        <v>3080</v>
      </c>
      <c r="I40" s="106"/>
      <c r="J40" s="106"/>
      <c r="K40" s="106"/>
    </row>
    <row r="41" spans="1:11" ht="30" customHeight="1">
      <c r="A41" s="113">
        <v>39</v>
      </c>
      <c r="B41" s="48">
        <v>46359</v>
      </c>
      <c r="C41" s="94">
        <v>259748</v>
      </c>
      <c r="D41" s="94">
        <v>5446111</v>
      </c>
      <c r="E41" s="114">
        <v>54.2</v>
      </c>
      <c r="F41" s="115">
        <v>55</v>
      </c>
      <c r="G41" s="125">
        <v>55</v>
      </c>
      <c r="H41" s="126">
        <f t="shared" si="0"/>
        <v>3025</v>
      </c>
      <c r="I41" s="106"/>
      <c r="J41" s="106"/>
      <c r="K41" s="106"/>
    </row>
    <row r="42" spans="1:11" ht="30" customHeight="1">
      <c r="A42" s="113">
        <v>40</v>
      </c>
      <c r="B42" s="48">
        <v>46359</v>
      </c>
      <c r="C42" s="94">
        <v>259745</v>
      </c>
      <c r="D42" s="94">
        <v>5446531</v>
      </c>
      <c r="E42" s="114">
        <v>54.1</v>
      </c>
      <c r="F42" s="115">
        <v>55</v>
      </c>
      <c r="G42" s="125">
        <v>55</v>
      </c>
      <c r="H42" s="126">
        <f t="shared" si="0"/>
        <v>3025</v>
      </c>
      <c r="I42" s="106"/>
      <c r="J42" s="106"/>
      <c r="K42" s="106"/>
    </row>
    <row r="43" spans="1:11" ht="30" customHeight="1">
      <c r="A43" s="113">
        <v>41</v>
      </c>
      <c r="B43" s="48">
        <v>46359</v>
      </c>
      <c r="C43" s="94">
        <v>259746</v>
      </c>
      <c r="D43" s="94">
        <v>5445396</v>
      </c>
      <c r="E43" s="114">
        <v>54</v>
      </c>
      <c r="F43" s="115">
        <v>54</v>
      </c>
      <c r="G43" s="125">
        <v>55</v>
      </c>
      <c r="H43" s="126">
        <f t="shared" si="0"/>
        <v>2970</v>
      </c>
      <c r="I43" s="106"/>
      <c r="J43" s="106"/>
      <c r="K43" s="106"/>
    </row>
    <row r="44" spans="1:11" ht="30" customHeight="1">
      <c r="A44" s="113">
        <v>42</v>
      </c>
      <c r="B44" s="48">
        <v>46359</v>
      </c>
      <c r="C44" s="94">
        <v>259747</v>
      </c>
      <c r="D44" s="94">
        <v>5445760</v>
      </c>
      <c r="E44" s="114">
        <v>55</v>
      </c>
      <c r="F44" s="115">
        <v>55</v>
      </c>
      <c r="G44" s="125">
        <v>55</v>
      </c>
      <c r="H44" s="126">
        <f t="shared" si="0"/>
        <v>3025</v>
      </c>
      <c r="I44" s="106"/>
      <c r="J44" s="106"/>
      <c r="K44" s="106"/>
    </row>
    <row r="45" spans="1:11" ht="30" customHeight="1">
      <c r="A45" s="113">
        <v>43</v>
      </c>
      <c r="B45" s="48">
        <v>46359</v>
      </c>
      <c r="C45" s="94">
        <v>259744</v>
      </c>
      <c r="D45" s="94">
        <v>5446691</v>
      </c>
      <c r="E45" s="114">
        <v>53</v>
      </c>
      <c r="F45" s="115">
        <v>53</v>
      </c>
      <c r="G45" s="125">
        <v>55</v>
      </c>
      <c r="H45" s="126">
        <f t="shared" si="0"/>
        <v>2915</v>
      </c>
      <c r="I45" s="106"/>
      <c r="J45" s="106"/>
      <c r="K45" s="106"/>
    </row>
    <row r="46" spans="1:11" ht="30" customHeight="1">
      <c r="A46" s="113">
        <v>44</v>
      </c>
      <c r="B46" s="48">
        <v>46359</v>
      </c>
      <c r="C46" s="94">
        <v>259743</v>
      </c>
      <c r="D46" s="94">
        <v>5446701</v>
      </c>
      <c r="E46" s="114">
        <v>51.5</v>
      </c>
      <c r="F46" s="115">
        <v>52</v>
      </c>
      <c r="G46" s="125">
        <v>55</v>
      </c>
      <c r="H46" s="126">
        <f t="shared" si="0"/>
        <v>2860</v>
      </c>
      <c r="I46" s="106"/>
      <c r="J46" s="106"/>
      <c r="K46" s="106"/>
    </row>
    <row r="47" spans="1:11" ht="30" customHeight="1">
      <c r="A47" s="113">
        <v>45</v>
      </c>
      <c r="B47" s="48">
        <v>46359</v>
      </c>
      <c r="C47" s="94">
        <v>259742</v>
      </c>
      <c r="D47" s="94">
        <v>5445550</v>
      </c>
      <c r="E47" s="114">
        <v>52</v>
      </c>
      <c r="F47" s="115">
        <v>52</v>
      </c>
      <c r="G47" s="125">
        <v>55</v>
      </c>
      <c r="H47" s="126">
        <f t="shared" si="0"/>
        <v>2860</v>
      </c>
      <c r="I47" s="106"/>
      <c r="J47" s="106"/>
      <c r="K47" s="106"/>
    </row>
    <row r="48" spans="1:11" ht="30" customHeight="1">
      <c r="A48" s="113">
        <v>46</v>
      </c>
      <c r="B48" s="48">
        <v>46359</v>
      </c>
      <c r="C48" s="94">
        <v>259739</v>
      </c>
      <c r="D48" s="94">
        <v>5445439</v>
      </c>
      <c r="E48" s="114">
        <v>53.6</v>
      </c>
      <c r="F48" s="115">
        <v>54</v>
      </c>
      <c r="G48" s="125">
        <v>55</v>
      </c>
      <c r="H48" s="126">
        <f t="shared" si="0"/>
        <v>2970</v>
      </c>
      <c r="I48" s="106"/>
      <c r="J48" s="106"/>
      <c r="K48" s="106"/>
    </row>
    <row r="49" spans="1:11" ht="30" customHeight="1">
      <c r="A49" s="113">
        <v>47</v>
      </c>
      <c r="B49" s="48">
        <v>46359</v>
      </c>
      <c r="C49" s="94">
        <v>259740</v>
      </c>
      <c r="D49" s="94">
        <v>5479410</v>
      </c>
      <c r="E49" s="114">
        <v>52</v>
      </c>
      <c r="F49" s="115">
        <v>52</v>
      </c>
      <c r="G49" s="125">
        <v>55</v>
      </c>
      <c r="H49" s="126">
        <f t="shared" si="0"/>
        <v>2860</v>
      </c>
      <c r="I49" s="106"/>
      <c r="J49" s="106"/>
      <c r="K49" s="106"/>
    </row>
    <row r="50" spans="1:11" ht="30" customHeight="1">
      <c r="A50" s="113">
        <v>48</v>
      </c>
      <c r="B50" s="48">
        <v>46359</v>
      </c>
      <c r="C50" s="94">
        <v>259741</v>
      </c>
      <c r="D50" s="94">
        <v>5446555</v>
      </c>
      <c r="E50" s="114">
        <v>52.5</v>
      </c>
      <c r="F50" s="115">
        <v>53</v>
      </c>
      <c r="G50" s="125">
        <v>55</v>
      </c>
      <c r="H50" s="126">
        <f t="shared" si="0"/>
        <v>2915</v>
      </c>
      <c r="I50" s="106"/>
      <c r="J50" s="106"/>
      <c r="K50" s="106"/>
    </row>
    <row r="51" spans="1:11" ht="30" customHeight="1">
      <c r="A51" s="113">
        <v>49</v>
      </c>
      <c r="B51" s="48">
        <v>46359</v>
      </c>
      <c r="C51" s="94">
        <v>259736</v>
      </c>
      <c r="D51" s="94">
        <v>5446854</v>
      </c>
      <c r="E51" s="114">
        <v>50.3</v>
      </c>
      <c r="F51" s="115">
        <v>51</v>
      </c>
      <c r="G51" s="125">
        <v>55</v>
      </c>
      <c r="H51" s="126">
        <f t="shared" si="0"/>
        <v>2805</v>
      </c>
      <c r="I51" s="106"/>
      <c r="J51" s="106"/>
      <c r="K51" s="106"/>
    </row>
    <row r="52" spans="1:11" ht="30" customHeight="1">
      <c r="A52" s="113">
        <v>50</v>
      </c>
      <c r="B52" s="48">
        <v>46359</v>
      </c>
      <c r="C52" s="94">
        <v>259737</v>
      </c>
      <c r="D52" s="94">
        <v>5446046</v>
      </c>
      <c r="E52" s="114">
        <v>53.3</v>
      </c>
      <c r="F52" s="115">
        <v>51</v>
      </c>
      <c r="G52" s="125">
        <v>55</v>
      </c>
      <c r="H52" s="126">
        <f t="shared" si="0"/>
        <v>2805</v>
      </c>
      <c r="I52" s="106"/>
      <c r="J52" s="106"/>
      <c r="K52" s="106"/>
    </row>
    <row r="53" spans="1:11" ht="30" customHeight="1">
      <c r="A53" s="113">
        <v>51</v>
      </c>
      <c r="B53" s="48">
        <v>46359</v>
      </c>
      <c r="C53" s="94">
        <v>259738</v>
      </c>
      <c r="D53" s="94">
        <v>5446014</v>
      </c>
      <c r="E53" s="114">
        <v>52.7</v>
      </c>
      <c r="F53" s="115">
        <v>53</v>
      </c>
      <c r="G53" s="125">
        <v>55</v>
      </c>
      <c r="H53" s="126">
        <f t="shared" si="0"/>
        <v>2915</v>
      </c>
      <c r="I53" s="106"/>
      <c r="J53" s="106"/>
      <c r="K53" s="106"/>
    </row>
    <row r="54" spans="1:11" ht="30" customHeight="1">
      <c r="A54" s="113">
        <v>52</v>
      </c>
      <c r="B54" s="48">
        <v>46359</v>
      </c>
      <c r="C54" s="94">
        <v>259735</v>
      </c>
      <c r="D54" s="94">
        <v>5478396</v>
      </c>
      <c r="E54" s="114">
        <v>50.5</v>
      </c>
      <c r="F54" s="115">
        <v>51</v>
      </c>
      <c r="G54" s="125">
        <v>55</v>
      </c>
      <c r="H54" s="126">
        <f t="shared" si="0"/>
        <v>2805</v>
      </c>
      <c r="I54" s="106"/>
      <c r="J54" s="106"/>
      <c r="K54" s="106"/>
    </row>
    <row r="55" spans="1:11" ht="30" customHeight="1" thickBot="1">
      <c r="A55" s="117"/>
      <c r="B55" s="50"/>
      <c r="C55" s="50"/>
      <c r="D55" s="50"/>
      <c r="E55" s="50"/>
      <c r="F55" s="50"/>
      <c r="G55" s="124"/>
      <c r="H55" s="118"/>
      <c r="I55" s="106"/>
      <c r="J55" s="106"/>
      <c r="K55" s="106"/>
    </row>
    <row r="56" spans="1:11" ht="9.65" customHeight="1">
      <c r="A56" s="119"/>
      <c r="B56" s="119"/>
      <c r="C56" s="119"/>
      <c r="D56" s="119"/>
      <c r="E56" s="119"/>
      <c r="F56" s="119"/>
      <c r="G56" s="119"/>
      <c r="H56" s="119"/>
      <c r="I56" s="106"/>
      <c r="J56" s="106"/>
      <c r="K56" s="106"/>
    </row>
    <row r="57" spans="1:11">
      <c r="A57" s="119"/>
      <c r="B57" s="119"/>
      <c r="C57" s="119"/>
      <c r="D57" s="119"/>
      <c r="E57" s="120">
        <f>SUM(E3:E56)</f>
        <v>2677.4</v>
      </c>
      <c r="F57" s="120"/>
      <c r="G57" s="120"/>
      <c r="H57" s="129">
        <f t="shared" ref="H57" si="1">SUM(H3:H56)</f>
        <v>148280</v>
      </c>
      <c r="I57" s="106"/>
      <c r="J57" s="106"/>
      <c r="K57" s="106"/>
    </row>
    <row r="58" spans="1:11">
      <c r="A58" s="119"/>
      <c r="B58" s="119"/>
      <c r="C58" s="119"/>
      <c r="D58" s="119"/>
      <c r="E58" s="107"/>
      <c r="F58" s="119"/>
      <c r="G58" s="119"/>
      <c r="H58" s="119"/>
      <c r="I58" s="106"/>
      <c r="J58" s="106"/>
      <c r="K58" s="106"/>
    </row>
    <row r="59" spans="1:11">
      <c r="A59" s="119"/>
      <c r="B59" s="119"/>
      <c r="C59" s="119"/>
      <c r="D59" s="119"/>
      <c r="E59" s="119"/>
      <c r="F59" s="119"/>
      <c r="G59" s="119"/>
      <c r="H59" s="119"/>
      <c r="I59" s="106"/>
      <c r="J59" s="106"/>
      <c r="K59" s="106"/>
    </row>
    <row r="60" spans="1:11">
      <c r="A60" s="119"/>
      <c r="B60" s="119"/>
      <c r="C60" s="119"/>
      <c r="D60" s="119"/>
      <c r="E60" s="119"/>
      <c r="F60" s="119"/>
      <c r="G60" s="119"/>
      <c r="H60" s="119"/>
      <c r="I60" s="106"/>
      <c r="J60" s="106"/>
      <c r="K60" s="106"/>
    </row>
    <row r="61" spans="1:11">
      <c r="A61" s="119"/>
      <c r="B61" s="119"/>
      <c r="C61" s="119"/>
      <c r="D61" s="119"/>
      <c r="E61" s="119"/>
      <c r="F61" s="119"/>
      <c r="G61" s="119"/>
      <c r="H61" s="119"/>
      <c r="I61" s="106"/>
      <c r="J61" s="106"/>
      <c r="K61" s="106"/>
    </row>
    <row r="62" spans="1:11">
      <c r="A62" s="119"/>
      <c r="B62" s="119"/>
      <c r="C62" s="119"/>
      <c r="D62" s="119"/>
      <c r="E62" s="119"/>
      <c r="F62" s="119"/>
      <c r="G62" s="119"/>
      <c r="H62" s="119"/>
      <c r="I62" s="106"/>
      <c r="J62" s="106"/>
      <c r="K62" s="106"/>
    </row>
    <row r="63" spans="1:11">
      <c r="A63" s="119"/>
      <c r="B63" s="119"/>
      <c r="C63" s="119"/>
      <c r="D63" s="119"/>
      <c r="E63" s="119"/>
      <c r="F63" s="119"/>
      <c r="G63" s="119"/>
      <c r="H63" s="119"/>
      <c r="I63" s="106"/>
      <c r="J63" s="106"/>
      <c r="K63" s="106"/>
    </row>
    <row r="64" spans="1:11">
      <c r="A64" s="119"/>
      <c r="B64" s="119"/>
      <c r="C64" s="119"/>
      <c r="D64" s="119"/>
      <c r="E64" s="119"/>
      <c r="F64" s="119"/>
      <c r="G64" s="119"/>
      <c r="H64" s="119"/>
      <c r="I64" s="106"/>
      <c r="J64" s="106"/>
      <c r="K64" s="106"/>
    </row>
    <row r="65" spans="1:11">
      <c r="A65" s="119"/>
      <c r="B65" s="119"/>
      <c r="C65" s="119"/>
      <c r="D65" s="119"/>
      <c r="E65" s="119"/>
      <c r="F65" s="119"/>
      <c r="G65" s="119"/>
      <c r="H65" s="119"/>
      <c r="I65" s="106"/>
      <c r="J65" s="106"/>
      <c r="K65" s="106"/>
    </row>
    <row r="66" spans="1:11">
      <c r="A66" s="119"/>
      <c r="B66" s="119"/>
      <c r="C66" s="119"/>
      <c r="D66" s="119"/>
      <c r="E66" s="119"/>
      <c r="F66" s="119"/>
      <c r="G66" s="119"/>
      <c r="H66" s="119"/>
      <c r="I66" s="106"/>
      <c r="J66" s="106"/>
      <c r="K66" s="106"/>
    </row>
    <row r="67" spans="1:11">
      <c r="A67" s="119"/>
      <c r="B67" s="119"/>
      <c r="C67" s="119"/>
      <c r="D67" s="119"/>
      <c r="E67" s="119"/>
      <c r="F67" s="119"/>
      <c r="G67" s="119"/>
      <c r="H67" s="119"/>
      <c r="I67" s="106"/>
      <c r="J67" s="106"/>
      <c r="K67" s="106"/>
    </row>
    <row r="68" spans="1:11">
      <c r="A68" s="119"/>
      <c r="B68" s="119"/>
      <c r="C68" s="119"/>
      <c r="D68" s="119"/>
      <c r="E68" s="119"/>
      <c r="F68" s="119"/>
      <c r="G68" s="119"/>
      <c r="H68" s="119"/>
      <c r="I68" s="106"/>
      <c r="J68" s="106"/>
      <c r="K68" s="106"/>
    </row>
    <row r="69" spans="1:11">
      <c r="A69" s="119"/>
      <c r="B69" s="119"/>
      <c r="C69" s="119"/>
      <c r="D69" s="119"/>
      <c r="E69" s="119"/>
      <c r="F69" s="119"/>
      <c r="G69" s="119"/>
      <c r="H69" s="119"/>
      <c r="I69" s="106"/>
      <c r="J69" s="106"/>
      <c r="K69" s="106"/>
    </row>
    <row r="70" spans="1:11">
      <c r="A70" s="119"/>
      <c r="B70" s="119"/>
      <c r="C70" s="119"/>
      <c r="D70" s="119"/>
      <c r="E70" s="119"/>
      <c r="F70" s="119"/>
      <c r="G70" s="119"/>
      <c r="H70" s="119"/>
      <c r="I70" s="106"/>
      <c r="J70" s="106"/>
      <c r="K70" s="106"/>
    </row>
    <row r="71" spans="1:11">
      <c r="A71" s="119"/>
      <c r="B71" s="119"/>
      <c r="C71" s="119"/>
      <c r="D71" s="119"/>
      <c r="E71" s="119"/>
      <c r="F71" s="119"/>
      <c r="G71" s="119"/>
      <c r="H71" s="119"/>
      <c r="I71" s="106"/>
      <c r="J71" s="106"/>
      <c r="K71" s="106"/>
    </row>
    <row r="72" spans="1:11">
      <c r="A72" s="119"/>
      <c r="B72" s="119"/>
      <c r="C72" s="119"/>
      <c r="D72" s="119"/>
      <c r="E72" s="119"/>
      <c r="F72" s="119"/>
      <c r="G72" s="119"/>
      <c r="H72" s="119"/>
      <c r="I72" s="106"/>
      <c r="J72" s="106"/>
      <c r="K72" s="106"/>
    </row>
    <row r="73" spans="1:11">
      <c r="A73" s="119"/>
      <c r="B73" s="119"/>
      <c r="C73" s="119"/>
      <c r="D73" s="119"/>
      <c r="E73" s="119"/>
      <c r="F73" s="119"/>
      <c r="G73" s="119"/>
      <c r="H73" s="119"/>
      <c r="I73" s="106"/>
      <c r="J73" s="106"/>
      <c r="K73" s="106"/>
    </row>
    <row r="74" spans="1:11">
      <c r="A74" s="119"/>
      <c r="B74" s="119"/>
      <c r="C74" s="119"/>
      <c r="D74" s="119"/>
      <c r="E74" s="119"/>
      <c r="F74" s="119"/>
      <c r="G74" s="119"/>
      <c r="H74" s="119"/>
      <c r="I74" s="106"/>
      <c r="J74" s="106"/>
      <c r="K74" s="106"/>
    </row>
    <row r="75" spans="1:11">
      <c r="A75" s="119"/>
      <c r="B75" s="119"/>
      <c r="C75" s="119"/>
      <c r="D75" s="119"/>
      <c r="E75" s="119"/>
      <c r="F75" s="119"/>
      <c r="G75" s="119"/>
      <c r="H75" s="119"/>
      <c r="I75" s="106"/>
      <c r="J75" s="106"/>
      <c r="K75" s="106"/>
    </row>
    <row r="76" spans="1:11">
      <c r="A76" s="119"/>
      <c r="B76" s="119"/>
      <c r="C76" s="119"/>
      <c r="D76" s="119"/>
      <c r="E76" s="119"/>
      <c r="F76" s="119"/>
      <c r="G76" s="119"/>
      <c r="H76" s="119"/>
      <c r="I76" s="106"/>
      <c r="J76" s="106"/>
      <c r="K76" s="106"/>
    </row>
    <row r="77" spans="1:11">
      <c r="A77" s="119"/>
      <c r="B77" s="119"/>
      <c r="C77" s="119"/>
      <c r="D77" s="119"/>
      <c r="E77" s="119"/>
      <c r="F77" s="119"/>
      <c r="G77" s="119"/>
      <c r="H77" s="119"/>
      <c r="I77" s="106"/>
      <c r="J77" s="106"/>
      <c r="K77" s="106"/>
    </row>
    <row r="78" spans="1:11">
      <c r="A78" s="119"/>
      <c r="B78" s="119"/>
      <c r="C78" s="119"/>
      <c r="D78" s="119"/>
      <c r="E78" s="119"/>
      <c r="F78" s="119"/>
      <c r="G78" s="119"/>
      <c r="H78" s="119"/>
      <c r="I78" s="106"/>
      <c r="J78" s="106"/>
      <c r="K78" s="106"/>
    </row>
    <row r="79" spans="1:11">
      <c r="A79" s="119"/>
      <c r="B79" s="119"/>
      <c r="C79" s="119"/>
      <c r="D79" s="119"/>
      <c r="E79" s="119"/>
      <c r="F79" s="119"/>
      <c r="G79" s="119"/>
      <c r="H79" s="119"/>
      <c r="I79" s="106"/>
      <c r="J79" s="106"/>
      <c r="K79" s="106"/>
    </row>
    <row r="80" spans="1:11">
      <c r="A80" s="119"/>
      <c r="B80" s="119"/>
      <c r="C80" s="119"/>
      <c r="D80" s="119"/>
      <c r="E80" s="119"/>
      <c r="F80" s="119"/>
      <c r="G80" s="119"/>
      <c r="H80" s="119"/>
      <c r="I80" s="106"/>
      <c r="J80" s="106"/>
      <c r="K80" s="106"/>
    </row>
    <row r="81" spans="1:11">
      <c r="A81" s="119"/>
      <c r="B81" s="119"/>
      <c r="C81" s="119"/>
      <c r="D81" s="119"/>
      <c r="E81" s="119"/>
      <c r="F81" s="119"/>
      <c r="G81" s="119"/>
      <c r="H81" s="119"/>
      <c r="I81" s="106"/>
      <c r="J81" s="106"/>
      <c r="K81" s="106"/>
    </row>
    <row r="82" spans="1:11">
      <c r="A82" s="119"/>
      <c r="B82" s="119"/>
      <c r="C82" s="119"/>
      <c r="D82" s="119"/>
      <c r="E82" s="119"/>
      <c r="F82" s="119"/>
      <c r="G82" s="119"/>
      <c r="H82" s="119"/>
      <c r="I82" s="106"/>
      <c r="J82" s="106"/>
      <c r="K82" s="106"/>
    </row>
    <row r="83" spans="1:11">
      <c r="A83" s="119"/>
      <c r="B83" s="119"/>
      <c r="C83" s="119"/>
      <c r="D83" s="119"/>
      <c r="E83" s="119"/>
      <c r="F83" s="119"/>
      <c r="G83" s="119"/>
      <c r="H83" s="119"/>
      <c r="I83" s="106"/>
      <c r="J83" s="106"/>
      <c r="K83" s="106"/>
    </row>
    <row r="84" spans="1:11">
      <c r="A84" s="119"/>
      <c r="B84" s="119"/>
      <c r="C84" s="119"/>
      <c r="D84" s="119"/>
      <c r="E84" s="119"/>
      <c r="F84" s="119"/>
      <c r="G84" s="119"/>
      <c r="H84" s="119"/>
      <c r="I84" s="106"/>
      <c r="J84" s="106"/>
      <c r="K84" s="106"/>
    </row>
    <row r="85" spans="1:11">
      <c r="A85" s="119"/>
      <c r="B85" s="119"/>
      <c r="C85" s="119"/>
      <c r="D85" s="119"/>
      <c r="E85" s="119"/>
      <c r="F85" s="119"/>
      <c r="G85" s="119"/>
      <c r="H85" s="119"/>
      <c r="I85" s="106"/>
      <c r="J85" s="106"/>
      <c r="K85" s="106"/>
    </row>
    <row r="86" spans="1:11">
      <c r="A86" s="119"/>
      <c r="B86" s="119"/>
      <c r="C86" s="119"/>
      <c r="D86" s="119"/>
      <c r="E86" s="119"/>
      <c r="F86" s="119"/>
      <c r="G86" s="119"/>
      <c r="H86" s="119"/>
      <c r="I86" s="106"/>
      <c r="J86" s="106"/>
      <c r="K86" s="106"/>
    </row>
    <row r="87" spans="1:11">
      <c r="A87" s="119"/>
      <c r="B87" s="119"/>
      <c r="C87" s="119"/>
      <c r="D87" s="119"/>
      <c r="E87" s="119"/>
      <c r="F87" s="119"/>
      <c r="G87" s="119"/>
      <c r="H87" s="119"/>
      <c r="I87" s="106"/>
      <c r="J87" s="106"/>
      <c r="K87" s="106"/>
    </row>
    <row r="88" spans="1:11">
      <c r="A88" s="119"/>
      <c r="B88" s="119"/>
      <c r="C88" s="119"/>
      <c r="D88" s="119"/>
      <c r="E88" s="119"/>
      <c r="F88" s="119"/>
      <c r="G88" s="119"/>
      <c r="H88" s="119"/>
      <c r="I88" s="106"/>
      <c r="J88" s="106"/>
      <c r="K88" s="106"/>
    </row>
    <row r="89" spans="1:11">
      <c r="A89" s="119"/>
      <c r="B89" s="119"/>
      <c r="C89" s="119"/>
      <c r="D89" s="119"/>
      <c r="E89" s="119"/>
      <c r="F89" s="119"/>
      <c r="G89" s="119"/>
      <c r="H89" s="119"/>
      <c r="I89" s="106"/>
      <c r="J89" s="106"/>
      <c r="K89" s="106"/>
    </row>
    <row r="90" spans="1:11">
      <c r="A90" s="119"/>
      <c r="B90" s="119"/>
      <c r="C90" s="119"/>
      <c r="D90" s="119"/>
      <c r="E90" s="119"/>
      <c r="F90" s="119"/>
      <c r="G90" s="119"/>
      <c r="H90" s="119"/>
      <c r="I90" s="106"/>
      <c r="J90" s="106"/>
      <c r="K90" s="106"/>
    </row>
    <row r="91" spans="1:11">
      <c r="A91" s="119"/>
      <c r="B91" s="119"/>
      <c r="C91" s="119"/>
      <c r="D91" s="119"/>
      <c r="E91" s="119"/>
      <c r="F91" s="119"/>
      <c r="G91" s="119"/>
      <c r="H91" s="119"/>
      <c r="I91" s="106"/>
      <c r="J91" s="106"/>
      <c r="K91" s="106"/>
    </row>
    <row r="92" spans="1:11">
      <c r="A92" s="119"/>
      <c r="B92" s="119"/>
      <c r="C92" s="119"/>
      <c r="D92" s="119"/>
      <c r="E92" s="119"/>
      <c r="F92" s="119"/>
      <c r="G92" s="119"/>
      <c r="H92" s="119"/>
      <c r="I92" s="106"/>
      <c r="J92" s="106"/>
      <c r="K92" s="106"/>
    </row>
    <row r="93" spans="1:11">
      <c r="A93" s="119"/>
      <c r="B93" s="119"/>
      <c r="C93" s="119"/>
      <c r="D93" s="119"/>
      <c r="E93" s="119"/>
      <c r="F93" s="119"/>
      <c r="G93" s="119"/>
      <c r="H93" s="119"/>
      <c r="I93" s="106"/>
      <c r="J93" s="106"/>
      <c r="K93" s="106"/>
    </row>
    <row r="94" spans="1:11">
      <c r="A94" s="119"/>
      <c r="B94" s="119"/>
      <c r="C94" s="119"/>
      <c r="D94" s="119"/>
      <c r="E94" s="119"/>
      <c r="F94" s="119"/>
      <c r="G94" s="119"/>
      <c r="H94" s="119"/>
      <c r="I94" s="106"/>
      <c r="J94" s="106"/>
      <c r="K94" s="106"/>
    </row>
    <row r="95" spans="1:11">
      <c r="A95" s="119"/>
      <c r="B95" s="119"/>
      <c r="C95" s="119"/>
      <c r="D95" s="119"/>
      <c r="E95" s="119"/>
      <c r="F95" s="119"/>
      <c r="G95" s="119"/>
      <c r="H95" s="119"/>
      <c r="I95" s="106"/>
      <c r="J95" s="106"/>
      <c r="K95" s="106"/>
    </row>
    <row r="96" spans="1:11">
      <c r="A96" s="119"/>
      <c r="B96" s="119"/>
      <c r="C96" s="119"/>
      <c r="D96" s="119"/>
      <c r="E96" s="119"/>
      <c r="F96" s="119"/>
      <c r="G96" s="119"/>
      <c r="H96" s="119"/>
      <c r="I96" s="106"/>
      <c r="J96" s="106"/>
      <c r="K96" s="106"/>
    </row>
    <row r="97" spans="1:11">
      <c r="A97" s="119"/>
      <c r="B97" s="119"/>
      <c r="C97" s="119"/>
      <c r="D97" s="119"/>
      <c r="E97" s="119"/>
      <c r="F97" s="119"/>
      <c r="G97" s="119"/>
      <c r="H97" s="119"/>
      <c r="I97" s="106"/>
      <c r="J97" s="106"/>
      <c r="K97" s="106"/>
    </row>
    <row r="98" spans="1:11">
      <c r="A98" s="119"/>
      <c r="B98" s="119"/>
      <c r="C98" s="119"/>
      <c r="D98" s="119"/>
      <c r="E98" s="119"/>
      <c r="F98" s="119"/>
      <c r="G98" s="119"/>
      <c r="H98" s="119"/>
      <c r="I98" s="106"/>
      <c r="J98" s="106"/>
      <c r="K98" s="106"/>
    </row>
    <row r="99" spans="1:11">
      <c r="A99" s="119"/>
      <c r="B99" s="119"/>
      <c r="C99" s="119"/>
      <c r="D99" s="119"/>
      <c r="E99" s="119"/>
      <c r="F99" s="119"/>
      <c r="G99" s="119"/>
      <c r="H99" s="119"/>
      <c r="I99" s="106"/>
      <c r="J99" s="106"/>
      <c r="K99" s="106"/>
    </row>
    <row r="100" spans="1:11">
      <c r="A100" s="119"/>
      <c r="B100" s="119"/>
      <c r="C100" s="119"/>
      <c r="D100" s="119"/>
      <c r="E100" s="119"/>
      <c r="F100" s="119"/>
      <c r="G100" s="119"/>
      <c r="H100" s="119"/>
      <c r="I100" s="106"/>
      <c r="J100" s="106"/>
      <c r="K100" s="106"/>
    </row>
    <row r="101" spans="1:11">
      <c r="A101" s="119"/>
      <c r="B101" s="119"/>
      <c r="C101" s="119"/>
      <c r="D101" s="119"/>
      <c r="E101" s="119"/>
      <c r="F101" s="119"/>
      <c r="G101" s="119"/>
      <c r="H101" s="119"/>
      <c r="I101" s="106"/>
      <c r="J101" s="106"/>
      <c r="K101" s="106"/>
    </row>
    <row r="102" spans="1:11">
      <c r="A102" s="119"/>
      <c r="B102" s="119"/>
      <c r="C102" s="119"/>
      <c r="D102" s="119"/>
      <c r="E102" s="119"/>
      <c r="F102" s="119"/>
      <c r="G102" s="119"/>
      <c r="H102" s="119"/>
      <c r="I102" s="106"/>
      <c r="J102" s="106"/>
      <c r="K102" s="106"/>
    </row>
    <row r="103" spans="1:11">
      <c r="A103" s="119"/>
      <c r="B103" s="119"/>
      <c r="C103" s="119"/>
      <c r="D103" s="119"/>
      <c r="E103" s="119"/>
      <c r="F103" s="119"/>
      <c r="G103" s="119"/>
      <c r="H103" s="119"/>
      <c r="I103" s="106"/>
      <c r="J103" s="106"/>
      <c r="K103" s="106"/>
    </row>
    <row r="104" spans="1:11">
      <c r="A104" s="119"/>
      <c r="B104" s="119"/>
      <c r="C104" s="119"/>
      <c r="D104" s="119"/>
      <c r="E104" s="119"/>
      <c r="F104" s="119"/>
      <c r="G104" s="119"/>
      <c r="H104" s="119"/>
      <c r="I104" s="106"/>
      <c r="J104" s="106"/>
      <c r="K104" s="106"/>
    </row>
    <row r="105" spans="1:11">
      <c r="A105" s="119"/>
      <c r="B105" s="119"/>
      <c r="C105" s="119"/>
      <c r="D105" s="119"/>
      <c r="E105" s="119"/>
      <c r="F105" s="119"/>
      <c r="G105" s="119"/>
      <c r="H105" s="119"/>
      <c r="I105" s="106"/>
      <c r="J105" s="106"/>
      <c r="K105" s="106"/>
    </row>
    <row r="106" spans="1:11">
      <c r="A106" s="119"/>
      <c r="B106" s="119"/>
      <c r="C106" s="119"/>
      <c r="D106" s="119"/>
      <c r="E106" s="119"/>
      <c r="F106" s="119"/>
      <c r="G106" s="119"/>
      <c r="H106" s="119"/>
      <c r="I106" s="106"/>
      <c r="J106" s="106"/>
      <c r="K106" s="106"/>
    </row>
    <row r="107" spans="1:11">
      <c r="A107" s="119"/>
      <c r="B107" s="119"/>
      <c r="C107" s="119"/>
      <c r="D107" s="119"/>
      <c r="E107" s="119"/>
      <c r="F107" s="119"/>
      <c r="G107" s="119"/>
      <c r="H107" s="119"/>
      <c r="I107" s="106"/>
      <c r="J107" s="106"/>
      <c r="K107" s="106"/>
    </row>
    <row r="108" spans="1:11">
      <c r="A108" s="119"/>
      <c r="B108" s="119"/>
      <c r="C108" s="119"/>
      <c r="D108" s="119"/>
      <c r="E108" s="119"/>
      <c r="F108" s="119"/>
      <c r="G108" s="119"/>
      <c r="H108" s="119"/>
      <c r="I108" s="106"/>
      <c r="J108" s="106"/>
      <c r="K108" s="106"/>
    </row>
    <row r="109" spans="1:11">
      <c r="A109" s="119"/>
      <c r="B109" s="119"/>
      <c r="C109" s="119"/>
      <c r="D109" s="119"/>
      <c r="E109" s="119"/>
      <c r="F109" s="119"/>
      <c r="G109" s="119"/>
      <c r="H109" s="119"/>
      <c r="I109" s="106"/>
      <c r="J109" s="106"/>
      <c r="K109" s="106"/>
    </row>
    <row r="110" spans="1:11">
      <c r="A110" s="119"/>
      <c r="B110" s="119"/>
      <c r="C110" s="119"/>
      <c r="D110" s="119"/>
      <c r="E110" s="119"/>
      <c r="F110" s="119"/>
      <c r="G110" s="119"/>
      <c r="H110" s="119"/>
      <c r="I110" s="106"/>
      <c r="J110" s="106"/>
      <c r="K110" s="106"/>
    </row>
    <row r="111" spans="1:11">
      <c r="A111" s="119"/>
      <c r="B111" s="119"/>
      <c r="C111" s="119"/>
      <c r="D111" s="119"/>
      <c r="E111" s="119"/>
      <c r="F111" s="119"/>
      <c r="G111" s="119"/>
      <c r="H111" s="119"/>
      <c r="I111" s="106"/>
      <c r="J111" s="106"/>
      <c r="K111" s="106"/>
    </row>
    <row r="112" spans="1:11">
      <c r="A112" s="119"/>
      <c r="B112" s="119"/>
      <c r="C112" s="119"/>
      <c r="D112" s="119"/>
      <c r="E112" s="119"/>
      <c r="F112" s="119"/>
      <c r="G112" s="119"/>
      <c r="H112" s="119"/>
      <c r="I112" s="106"/>
      <c r="J112" s="106"/>
      <c r="K112" s="106"/>
    </row>
    <row r="113" spans="1:11">
      <c r="A113" s="119"/>
      <c r="B113" s="119"/>
      <c r="C113" s="119"/>
      <c r="D113" s="119"/>
      <c r="E113" s="119"/>
      <c r="F113" s="119"/>
      <c r="G113" s="119"/>
      <c r="H113" s="119"/>
      <c r="I113" s="106"/>
      <c r="J113" s="106"/>
      <c r="K113" s="106"/>
    </row>
    <row r="114" spans="1:11">
      <c r="A114" s="119"/>
      <c r="B114" s="119"/>
      <c r="C114" s="119"/>
      <c r="D114" s="119"/>
      <c r="E114" s="119"/>
      <c r="F114" s="119"/>
      <c r="G114" s="119"/>
      <c r="H114" s="119"/>
      <c r="I114" s="106"/>
      <c r="J114" s="106"/>
      <c r="K114" s="106"/>
    </row>
    <row r="115" spans="1:11">
      <c r="A115" s="119"/>
      <c r="B115" s="119"/>
      <c r="C115" s="119"/>
      <c r="D115" s="119"/>
      <c r="E115" s="119"/>
      <c r="F115" s="119"/>
      <c r="G115" s="119"/>
      <c r="H115" s="119"/>
      <c r="I115" s="106"/>
      <c r="J115" s="106"/>
      <c r="K115" s="106"/>
    </row>
    <row r="116" spans="1:11">
      <c r="A116" s="119"/>
      <c r="B116" s="119"/>
      <c r="C116" s="119"/>
      <c r="D116" s="119"/>
      <c r="E116" s="119"/>
      <c r="F116" s="119"/>
      <c r="G116" s="119"/>
      <c r="H116" s="119"/>
      <c r="I116" s="106"/>
      <c r="J116" s="106"/>
      <c r="K116" s="106"/>
    </row>
    <row r="117" spans="1:11">
      <c r="A117" s="119"/>
      <c r="B117" s="119"/>
      <c r="C117" s="119"/>
      <c r="D117" s="119"/>
      <c r="E117" s="119"/>
      <c r="F117" s="119"/>
      <c r="G117" s="119"/>
      <c r="H117" s="119"/>
      <c r="I117" s="106"/>
      <c r="J117" s="106"/>
      <c r="K117" s="106"/>
    </row>
    <row r="118" spans="1:11">
      <c r="A118" s="119"/>
      <c r="B118" s="119"/>
      <c r="C118" s="119"/>
      <c r="D118" s="119"/>
      <c r="E118" s="119"/>
      <c r="F118" s="119"/>
      <c r="G118" s="119"/>
      <c r="H118" s="119"/>
      <c r="I118" s="106"/>
      <c r="J118" s="106"/>
      <c r="K118" s="106"/>
    </row>
    <row r="119" spans="1:11">
      <c r="A119" s="119"/>
      <c r="B119" s="119"/>
      <c r="C119" s="119"/>
      <c r="D119" s="119"/>
      <c r="E119" s="119"/>
      <c r="F119" s="119"/>
      <c r="G119" s="119"/>
      <c r="H119" s="119"/>
      <c r="I119" s="106"/>
      <c r="J119" s="106"/>
      <c r="K119" s="106"/>
    </row>
    <row r="120" spans="1:11">
      <c r="A120" s="119"/>
      <c r="B120" s="119"/>
      <c r="C120" s="119"/>
      <c r="D120" s="119"/>
      <c r="E120" s="119"/>
      <c r="F120" s="119"/>
      <c r="G120" s="119"/>
      <c r="H120" s="119"/>
      <c r="I120" s="106"/>
      <c r="J120" s="106"/>
      <c r="K120" s="106"/>
    </row>
  </sheetData>
  <mergeCells count="1">
    <mergeCell ref="A1:H1"/>
  </mergeCells>
  <conditionalFormatting sqref="D1:D1048576">
    <cfRule type="duplicateValues" dxfId="32" priority="7"/>
    <cfRule type="duplicateValues" dxfId="31" priority="8"/>
  </conditionalFormatting>
  <conditionalFormatting sqref="D3:D54 C2:C1048576">
    <cfRule type="duplicateValues" dxfId="30" priority="206"/>
    <cfRule type="duplicateValues" dxfId="29" priority="207"/>
    <cfRule type="duplicateValues" dxfId="28" priority="208"/>
  </conditionalFormatting>
  <conditionalFormatting sqref="D55:D1048576 D2 A1">
    <cfRule type="duplicateValues" dxfId="27" priority="3"/>
  </conditionalFormatting>
  <conditionalFormatting sqref="J1:J1048576 D1:D1048576">
    <cfRule type="duplicateValues" dxfId="26" priority="1"/>
    <cfRule type="duplicateValues" dxfId="2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98E0-11D7-4A3E-A0FE-4067D4FCA2EA}">
  <dimension ref="A1:K120"/>
  <sheetViews>
    <sheetView rightToLeft="1" topLeftCell="A51" workbookViewId="0">
      <selection activeCell="H57" sqref="H57"/>
    </sheetView>
  </sheetViews>
  <sheetFormatPr defaultRowHeight="15.5"/>
  <cols>
    <col min="1" max="1" width="5" style="16" customWidth="1"/>
    <col min="2" max="2" width="9.90625" style="16" customWidth="1"/>
    <col min="3" max="3" width="10.54296875" style="16" customWidth="1"/>
    <col min="4" max="4" width="12.6328125" style="16" customWidth="1"/>
    <col min="5" max="5" width="13.54296875" style="16" customWidth="1"/>
    <col min="6" max="7" width="14.1796875" style="16" customWidth="1"/>
    <col min="8" max="8" width="17.54296875" style="16" customWidth="1"/>
    <col min="9" max="9" width="8.90625" style="107"/>
    <col min="10" max="10" width="9.54296875" style="107" bestFit="1" customWidth="1"/>
    <col min="11" max="234" width="8.90625" style="107"/>
    <col min="235" max="235" width="7.6328125" style="107" customWidth="1"/>
    <col min="236" max="236" width="12.54296875" style="107" customWidth="1"/>
    <col min="237" max="237" width="9.36328125" style="107" customWidth="1"/>
    <col min="238" max="238" width="9.90625" style="107" customWidth="1"/>
    <col min="239" max="239" width="10.36328125" style="107" bestFit="1" customWidth="1"/>
    <col min="240" max="240" width="11.90625" style="107" customWidth="1"/>
    <col min="241" max="241" width="10.54296875" style="107" customWidth="1"/>
    <col min="242" max="242" width="13.36328125" style="107" customWidth="1"/>
    <col min="243" max="244" width="10.54296875" style="107" customWidth="1"/>
    <col min="245" max="245" width="10.6328125" style="107" customWidth="1"/>
    <col min="246" max="246" width="12.08984375" style="107" customWidth="1"/>
    <col min="247" max="250" width="10.54296875" style="107" customWidth="1"/>
    <col min="251" max="251" width="12.08984375" style="107" bestFit="1" customWidth="1"/>
    <col min="252" max="252" width="10.54296875" style="107" customWidth="1"/>
    <col min="253" max="253" width="11.36328125" style="107" customWidth="1"/>
    <col min="254" max="254" width="14.36328125" style="107" bestFit="1" customWidth="1"/>
    <col min="255" max="490" width="8.90625" style="107"/>
    <col min="491" max="491" width="7.6328125" style="107" customWidth="1"/>
    <col min="492" max="492" width="12.54296875" style="107" customWidth="1"/>
    <col min="493" max="493" width="9.36328125" style="107" customWidth="1"/>
    <col min="494" max="494" width="9.90625" style="107" customWidth="1"/>
    <col min="495" max="495" width="10.36328125" style="107" bestFit="1" customWidth="1"/>
    <col min="496" max="496" width="11.90625" style="107" customWidth="1"/>
    <col min="497" max="497" width="10.54296875" style="107" customWidth="1"/>
    <col min="498" max="498" width="13.36328125" style="107" customWidth="1"/>
    <col min="499" max="500" width="10.54296875" style="107" customWidth="1"/>
    <col min="501" max="501" width="10.6328125" style="107" customWidth="1"/>
    <col min="502" max="502" width="12.08984375" style="107" customWidth="1"/>
    <col min="503" max="506" width="10.54296875" style="107" customWidth="1"/>
    <col min="507" max="507" width="12.08984375" style="107" bestFit="1" customWidth="1"/>
    <col min="508" max="508" width="10.54296875" style="107" customWidth="1"/>
    <col min="509" max="509" width="11.36328125" style="107" customWidth="1"/>
    <col min="510" max="510" width="14.36328125" style="107" bestFit="1" customWidth="1"/>
    <col min="511" max="746" width="8.90625" style="107"/>
    <col min="747" max="747" width="7.6328125" style="107" customWidth="1"/>
    <col min="748" max="748" width="12.54296875" style="107" customWidth="1"/>
    <col min="749" max="749" width="9.36328125" style="107" customWidth="1"/>
    <col min="750" max="750" width="9.90625" style="107" customWidth="1"/>
    <col min="751" max="751" width="10.36328125" style="107" bestFit="1" customWidth="1"/>
    <col min="752" max="752" width="11.90625" style="107" customWidth="1"/>
    <col min="753" max="753" width="10.54296875" style="107" customWidth="1"/>
    <col min="754" max="754" width="13.36328125" style="107" customWidth="1"/>
    <col min="755" max="756" width="10.54296875" style="107" customWidth="1"/>
    <col min="757" max="757" width="10.6328125" style="107" customWidth="1"/>
    <col min="758" max="758" width="12.08984375" style="107" customWidth="1"/>
    <col min="759" max="762" width="10.54296875" style="107" customWidth="1"/>
    <col min="763" max="763" width="12.08984375" style="107" bestFit="1" customWidth="1"/>
    <col min="764" max="764" width="10.54296875" style="107" customWidth="1"/>
    <col min="765" max="765" width="11.36328125" style="107" customWidth="1"/>
    <col min="766" max="766" width="14.36328125" style="107" bestFit="1" customWidth="1"/>
    <col min="767" max="1002" width="8.90625" style="107"/>
    <col min="1003" max="1003" width="7.6328125" style="107" customWidth="1"/>
    <col min="1004" max="1004" width="12.54296875" style="107" customWidth="1"/>
    <col min="1005" max="1005" width="9.36328125" style="107" customWidth="1"/>
    <col min="1006" max="1006" width="9.90625" style="107" customWidth="1"/>
    <col min="1007" max="1007" width="10.36328125" style="107" bestFit="1" customWidth="1"/>
    <col min="1008" max="1008" width="11.90625" style="107" customWidth="1"/>
    <col min="1009" max="1009" width="10.54296875" style="107" customWidth="1"/>
    <col min="1010" max="1010" width="13.36328125" style="107" customWidth="1"/>
    <col min="1011" max="1012" width="10.54296875" style="107" customWidth="1"/>
    <col min="1013" max="1013" width="10.6328125" style="107" customWidth="1"/>
    <col min="1014" max="1014" width="12.08984375" style="107" customWidth="1"/>
    <col min="1015" max="1018" width="10.54296875" style="107" customWidth="1"/>
    <col min="1019" max="1019" width="12.08984375" style="107" bestFit="1" customWidth="1"/>
    <col min="1020" max="1020" width="10.54296875" style="107" customWidth="1"/>
    <col min="1021" max="1021" width="11.36328125" style="107" customWidth="1"/>
    <col min="1022" max="1022" width="14.36328125" style="107" bestFit="1" customWidth="1"/>
    <col min="1023" max="1258" width="8.90625" style="107"/>
    <col min="1259" max="1259" width="7.6328125" style="107" customWidth="1"/>
    <col min="1260" max="1260" width="12.54296875" style="107" customWidth="1"/>
    <col min="1261" max="1261" width="9.36328125" style="107" customWidth="1"/>
    <col min="1262" max="1262" width="9.90625" style="107" customWidth="1"/>
    <col min="1263" max="1263" width="10.36328125" style="107" bestFit="1" customWidth="1"/>
    <col min="1264" max="1264" width="11.90625" style="107" customWidth="1"/>
    <col min="1265" max="1265" width="10.54296875" style="107" customWidth="1"/>
    <col min="1266" max="1266" width="13.36328125" style="107" customWidth="1"/>
    <col min="1267" max="1268" width="10.54296875" style="107" customWidth="1"/>
    <col min="1269" max="1269" width="10.6328125" style="107" customWidth="1"/>
    <col min="1270" max="1270" width="12.08984375" style="107" customWidth="1"/>
    <col min="1271" max="1274" width="10.54296875" style="107" customWidth="1"/>
    <col min="1275" max="1275" width="12.08984375" style="107" bestFit="1" customWidth="1"/>
    <col min="1276" max="1276" width="10.54296875" style="107" customWidth="1"/>
    <col min="1277" max="1277" width="11.36328125" style="107" customWidth="1"/>
    <col min="1278" max="1278" width="14.36328125" style="107" bestFit="1" customWidth="1"/>
    <col min="1279" max="1514" width="8.90625" style="107"/>
    <col min="1515" max="1515" width="7.6328125" style="107" customWidth="1"/>
    <col min="1516" max="1516" width="12.54296875" style="107" customWidth="1"/>
    <col min="1517" max="1517" width="9.36328125" style="107" customWidth="1"/>
    <col min="1518" max="1518" width="9.90625" style="107" customWidth="1"/>
    <col min="1519" max="1519" width="10.36328125" style="107" bestFit="1" customWidth="1"/>
    <col min="1520" max="1520" width="11.90625" style="107" customWidth="1"/>
    <col min="1521" max="1521" width="10.54296875" style="107" customWidth="1"/>
    <col min="1522" max="1522" width="13.36328125" style="107" customWidth="1"/>
    <col min="1523" max="1524" width="10.54296875" style="107" customWidth="1"/>
    <col min="1525" max="1525" width="10.6328125" style="107" customWidth="1"/>
    <col min="1526" max="1526" width="12.08984375" style="107" customWidth="1"/>
    <col min="1527" max="1530" width="10.54296875" style="107" customWidth="1"/>
    <col min="1531" max="1531" width="12.08984375" style="107" bestFit="1" customWidth="1"/>
    <col min="1532" max="1532" width="10.54296875" style="107" customWidth="1"/>
    <col min="1533" max="1533" width="11.36328125" style="107" customWidth="1"/>
    <col min="1534" max="1534" width="14.36328125" style="107" bestFit="1" customWidth="1"/>
    <col min="1535" max="1770" width="8.90625" style="107"/>
    <col min="1771" max="1771" width="7.6328125" style="107" customWidth="1"/>
    <col min="1772" max="1772" width="12.54296875" style="107" customWidth="1"/>
    <col min="1773" max="1773" width="9.36328125" style="107" customWidth="1"/>
    <col min="1774" max="1774" width="9.90625" style="107" customWidth="1"/>
    <col min="1775" max="1775" width="10.36328125" style="107" bestFit="1" customWidth="1"/>
    <col min="1776" max="1776" width="11.90625" style="107" customWidth="1"/>
    <col min="1777" max="1777" width="10.54296875" style="107" customWidth="1"/>
    <col min="1778" max="1778" width="13.36328125" style="107" customWidth="1"/>
    <col min="1779" max="1780" width="10.54296875" style="107" customWidth="1"/>
    <col min="1781" max="1781" width="10.6328125" style="107" customWidth="1"/>
    <col min="1782" max="1782" width="12.08984375" style="107" customWidth="1"/>
    <col min="1783" max="1786" width="10.54296875" style="107" customWidth="1"/>
    <col min="1787" max="1787" width="12.08984375" style="107" bestFit="1" customWidth="1"/>
    <col min="1788" max="1788" width="10.54296875" style="107" customWidth="1"/>
    <col min="1789" max="1789" width="11.36328125" style="107" customWidth="1"/>
    <col min="1790" max="1790" width="14.36328125" style="107" bestFit="1" customWidth="1"/>
    <col min="1791" max="2026" width="8.90625" style="107"/>
    <col min="2027" max="2027" width="7.6328125" style="107" customWidth="1"/>
    <col min="2028" max="2028" width="12.54296875" style="107" customWidth="1"/>
    <col min="2029" max="2029" width="9.36328125" style="107" customWidth="1"/>
    <col min="2030" max="2030" width="9.90625" style="107" customWidth="1"/>
    <col min="2031" max="2031" width="10.36328125" style="107" bestFit="1" customWidth="1"/>
    <col min="2032" max="2032" width="11.90625" style="107" customWidth="1"/>
    <col min="2033" max="2033" width="10.54296875" style="107" customWidth="1"/>
    <col min="2034" max="2034" width="13.36328125" style="107" customWidth="1"/>
    <col min="2035" max="2036" width="10.54296875" style="107" customWidth="1"/>
    <col min="2037" max="2037" width="10.6328125" style="107" customWidth="1"/>
    <col min="2038" max="2038" width="12.08984375" style="107" customWidth="1"/>
    <col min="2039" max="2042" width="10.54296875" style="107" customWidth="1"/>
    <col min="2043" max="2043" width="12.08984375" style="107" bestFit="1" customWidth="1"/>
    <col min="2044" max="2044" width="10.54296875" style="107" customWidth="1"/>
    <col min="2045" max="2045" width="11.36328125" style="107" customWidth="1"/>
    <col min="2046" max="2046" width="14.36328125" style="107" bestFit="1" customWidth="1"/>
    <col min="2047" max="2282" width="8.90625" style="107"/>
    <col min="2283" max="2283" width="7.6328125" style="107" customWidth="1"/>
    <col min="2284" max="2284" width="12.54296875" style="107" customWidth="1"/>
    <col min="2285" max="2285" width="9.36328125" style="107" customWidth="1"/>
    <col min="2286" max="2286" width="9.90625" style="107" customWidth="1"/>
    <col min="2287" max="2287" width="10.36328125" style="107" bestFit="1" customWidth="1"/>
    <col min="2288" max="2288" width="11.90625" style="107" customWidth="1"/>
    <col min="2289" max="2289" width="10.54296875" style="107" customWidth="1"/>
    <col min="2290" max="2290" width="13.36328125" style="107" customWidth="1"/>
    <col min="2291" max="2292" width="10.54296875" style="107" customWidth="1"/>
    <col min="2293" max="2293" width="10.6328125" style="107" customWidth="1"/>
    <col min="2294" max="2294" width="12.08984375" style="107" customWidth="1"/>
    <col min="2295" max="2298" width="10.54296875" style="107" customWidth="1"/>
    <col min="2299" max="2299" width="12.08984375" style="107" bestFit="1" customWidth="1"/>
    <col min="2300" max="2300" width="10.54296875" style="107" customWidth="1"/>
    <col min="2301" max="2301" width="11.36328125" style="107" customWidth="1"/>
    <col min="2302" max="2302" width="14.36328125" style="107" bestFit="1" customWidth="1"/>
    <col min="2303" max="2538" width="8.90625" style="107"/>
    <col min="2539" max="2539" width="7.6328125" style="107" customWidth="1"/>
    <col min="2540" max="2540" width="12.54296875" style="107" customWidth="1"/>
    <col min="2541" max="2541" width="9.36328125" style="107" customWidth="1"/>
    <col min="2542" max="2542" width="9.90625" style="107" customWidth="1"/>
    <col min="2543" max="2543" width="10.36328125" style="107" bestFit="1" customWidth="1"/>
    <col min="2544" max="2544" width="11.90625" style="107" customWidth="1"/>
    <col min="2545" max="2545" width="10.54296875" style="107" customWidth="1"/>
    <col min="2546" max="2546" width="13.36328125" style="107" customWidth="1"/>
    <col min="2547" max="2548" width="10.54296875" style="107" customWidth="1"/>
    <col min="2549" max="2549" width="10.6328125" style="107" customWidth="1"/>
    <col min="2550" max="2550" width="12.08984375" style="107" customWidth="1"/>
    <col min="2551" max="2554" width="10.54296875" style="107" customWidth="1"/>
    <col min="2555" max="2555" width="12.08984375" style="107" bestFit="1" customWidth="1"/>
    <col min="2556" max="2556" width="10.54296875" style="107" customWidth="1"/>
    <col min="2557" max="2557" width="11.36328125" style="107" customWidth="1"/>
    <col min="2558" max="2558" width="14.36328125" style="107" bestFit="1" customWidth="1"/>
    <col min="2559" max="2794" width="8.90625" style="107"/>
    <col min="2795" max="2795" width="7.6328125" style="107" customWidth="1"/>
    <col min="2796" max="2796" width="12.54296875" style="107" customWidth="1"/>
    <col min="2797" max="2797" width="9.36328125" style="107" customWidth="1"/>
    <col min="2798" max="2798" width="9.90625" style="107" customWidth="1"/>
    <col min="2799" max="2799" width="10.36328125" style="107" bestFit="1" customWidth="1"/>
    <col min="2800" max="2800" width="11.90625" style="107" customWidth="1"/>
    <col min="2801" max="2801" width="10.54296875" style="107" customWidth="1"/>
    <col min="2802" max="2802" width="13.36328125" style="107" customWidth="1"/>
    <col min="2803" max="2804" width="10.54296875" style="107" customWidth="1"/>
    <col min="2805" max="2805" width="10.6328125" style="107" customWidth="1"/>
    <col min="2806" max="2806" width="12.08984375" style="107" customWidth="1"/>
    <col min="2807" max="2810" width="10.54296875" style="107" customWidth="1"/>
    <col min="2811" max="2811" width="12.08984375" style="107" bestFit="1" customWidth="1"/>
    <col min="2812" max="2812" width="10.54296875" style="107" customWidth="1"/>
    <col min="2813" max="2813" width="11.36328125" style="107" customWidth="1"/>
    <col min="2814" max="2814" width="14.36328125" style="107" bestFit="1" customWidth="1"/>
    <col min="2815" max="3050" width="8.90625" style="107"/>
    <col min="3051" max="3051" width="7.6328125" style="107" customWidth="1"/>
    <col min="3052" max="3052" width="12.54296875" style="107" customWidth="1"/>
    <col min="3053" max="3053" width="9.36328125" style="107" customWidth="1"/>
    <col min="3054" max="3054" width="9.90625" style="107" customWidth="1"/>
    <col min="3055" max="3055" width="10.36328125" style="107" bestFit="1" customWidth="1"/>
    <col min="3056" max="3056" width="11.90625" style="107" customWidth="1"/>
    <col min="3057" max="3057" width="10.54296875" style="107" customWidth="1"/>
    <col min="3058" max="3058" width="13.36328125" style="107" customWidth="1"/>
    <col min="3059" max="3060" width="10.54296875" style="107" customWidth="1"/>
    <col min="3061" max="3061" width="10.6328125" style="107" customWidth="1"/>
    <col min="3062" max="3062" width="12.08984375" style="107" customWidth="1"/>
    <col min="3063" max="3066" width="10.54296875" style="107" customWidth="1"/>
    <col min="3067" max="3067" width="12.08984375" style="107" bestFit="1" customWidth="1"/>
    <col min="3068" max="3068" width="10.54296875" style="107" customWidth="1"/>
    <col min="3069" max="3069" width="11.36328125" style="107" customWidth="1"/>
    <col min="3070" max="3070" width="14.36328125" style="107" bestFit="1" customWidth="1"/>
    <col min="3071" max="3306" width="8.90625" style="107"/>
    <col min="3307" max="3307" width="7.6328125" style="107" customWidth="1"/>
    <col min="3308" max="3308" width="12.54296875" style="107" customWidth="1"/>
    <col min="3309" max="3309" width="9.36328125" style="107" customWidth="1"/>
    <col min="3310" max="3310" width="9.90625" style="107" customWidth="1"/>
    <col min="3311" max="3311" width="10.36328125" style="107" bestFit="1" customWidth="1"/>
    <col min="3312" max="3312" width="11.90625" style="107" customWidth="1"/>
    <col min="3313" max="3313" width="10.54296875" style="107" customWidth="1"/>
    <col min="3314" max="3314" width="13.36328125" style="107" customWidth="1"/>
    <col min="3315" max="3316" width="10.54296875" style="107" customWidth="1"/>
    <col min="3317" max="3317" width="10.6328125" style="107" customWidth="1"/>
    <col min="3318" max="3318" width="12.08984375" style="107" customWidth="1"/>
    <col min="3319" max="3322" width="10.54296875" style="107" customWidth="1"/>
    <col min="3323" max="3323" width="12.08984375" style="107" bestFit="1" customWidth="1"/>
    <col min="3324" max="3324" width="10.54296875" style="107" customWidth="1"/>
    <col min="3325" max="3325" width="11.36328125" style="107" customWidth="1"/>
    <col min="3326" max="3326" width="14.36328125" style="107" bestFit="1" customWidth="1"/>
    <col min="3327" max="3562" width="8.90625" style="107"/>
    <col min="3563" max="3563" width="7.6328125" style="107" customWidth="1"/>
    <col min="3564" max="3564" width="12.54296875" style="107" customWidth="1"/>
    <col min="3565" max="3565" width="9.36328125" style="107" customWidth="1"/>
    <col min="3566" max="3566" width="9.90625" style="107" customWidth="1"/>
    <col min="3567" max="3567" width="10.36328125" style="107" bestFit="1" customWidth="1"/>
    <col min="3568" max="3568" width="11.90625" style="107" customWidth="1"/>
    <col min="3569" max="3569" width="10.54296875" style="107" customWidth="1"/>
    <col min="3570" max="3570" width="13.36328125" style="107" customWidth="1"/>
    <col min="3571" max="3572" width="10.54296875" style="107" customWidth="1"/>
    <col min="3573" max="3573" width="10.6328125" style="107" customWidth="1"/>
    <col min="3574" max="3574" width="12.08984375" style="107" customWidth="1"/>
    <col min="3575" max="3578" width="10.54296875" style="107" customWidth="1"/>
    <col min="3579" max="3579" width="12.08984375" style="107" bestFit="1" customWidth="1"/>
    <col min="3580" max="3580" width="10.54296875" style="107" customWidth="1"/>
    <col min="3581" max="3581" width="11.36328125" style="107" customWidth="1"/>
    <col min="3582" max="3582" width="14.36328125" style="107" bestFit="1" customWidth="1"/>
    <col min="3583" max="3818" width="8.90625" style="107"/>
    <col min="3819" max="3819" width="7.6328125" style="107" customWidth="1"/>
    <col min="3820" max="3820" width="12.54296875" style="107" customWidth="1"/>
    <col min="3821" max="3821" width="9.36328125" style="107" customWidth="1"/>
    <col min="3822" max="3822" width="9.90625" style="107" customWidth="1"/>
    <col min="3823" max="3823" width="10.36328125" style="107" bestFit="1" customWidth="1"/>
    <col min="3824" max="3824" width="11.90625" style="107" customWidth="1"/>
    <col min="3825" max="3825" width="10.54296875" style="107" customWidth="1"/>
    <col min="3826" max="3826" width="13.36328125" style="107" customWidth="1"/>
    <col min="3827" max="3828" width="10.54296875" style="107" customWidth="1"/>
    <col min="3829" max="3829" width="10.6328125" style="107" customWidth="1"/>
    <col min="3830" max="3830" width="12.08984375" style="107" customWidth="1"/>
    <col min="3831" max="3834" width="10.54296875" style="107" customWidth="1"/>
    <col min="3835" max="3835" width="12.08984375" style="107" bestFit="1" customWidth="1"/>
    <col min="3836" max="3836" width="10.54296875" style="107" customWidth="1"/>
    <col min="3837" max="3837" width="11.36328125" style="107" customWidth="1"/>
    <col min="3838" max="3838" width="14.36328125" style="107" bestFit="1" customWidth="1"/>
    <col min="3839" max="4074" width="8.90625" style="107"/>
    <col min="4075" max="4075" width="7.6328125" style="107" customWidth="1"/>
    <col min="4076" max="4076" width="12.54296875" style="107" customWidth="1"/>
    <col min="4077" max="4077" width="9.36328125" style="107" customWidth="1"/>
    <col min="4078" max="4078" width="9.90625" style="107" customWidth="1"/>
    <col min="4079" max="4079" width="10.36328125" style="107" bestFit="1" customWidth="1"/>
    <col min="4080" max="4080" width="11.90625" style="107" customWidth="1"/>
    <col min="4081" max="4081" width="10.54296875" style="107" customWidth="1"/>
    <col min="4082" max="4082" width="13.36328125" style="107" customWidth="1"/>
    <col min="4083" max="4084" width="10.54296875" style="107" customWidth="1"/>
    <col min="4085" max="4085" width="10.6328125" style="107" customWidth="1"/>
    <col min="4086" max="4086" width="12.08984375" style="107" customWidth="1"/>
    <col min="4087" max="4090" width="10.54296875" style="107" customWidth="1"/>
    <col min="4091" max="4091" width="12.08984375" style="107" bestFit="1" customWidth="1"/>
    <col min="4092" max="4092" width="10.54296875" style="107" customWidth="1"/>
    <col min="4093" max="4093" width="11.36328125" style="107" customWidth="1"/>
    <col min="4094" max="4094" width="14.36328125" style="107" bestFit="1" customWidth="1"/>
    <col min="4095" max="4330" width="8.90625" style="107"/>
    <col min="4331" max="4331" width="7.6328125" style="107" customWidth="1"/>
    <col min="4332" max="4332" width="12.54296875" style="107" customWidth="1"/>
    <col min="4333" max="4333" width="9.36328125" style="107" customWidth="1"/>
    <col min="4334" max="4334" width="9.90625" style="107" customWidth="1"/>
    <col min="4335" max="4335" width="10.36328125" style="107" bestFit="1" customWidth="1"/>
    <col min="4336" max="4336" width="11.90625" style="107" customWidth="1"/>
    <col min="4337" max="4337" width="10.54296875" style="107" customWidth="1"/>
    <col min="4338" max="4338" width="13.36328125" style="107" customWidth="1"/>
    <col min="4339" max="4340" width="10.54296875" style="107" customWidth="1"/>
    <col min="4341" max="4341" width="10.6328125" style="107" customWidth="1"/>
    <col min="4342" max="4342" width="12.08984375" style="107" customWidth="1"/>
    <col min="4343" max="4346" width="10.54296875" style="107" customWidth="1"/>
    <col min="4347" max="4347" width="12.08984375" style="107" bestFit="1" customWidth="1"/>
    <col min="4348" max="4348" width="10.54296875" style="107" customWidth="1"/>
    <col min="4349" max="4349" width="11.36328125" style="107" customWidth="1"/>
    <col min="4350" max="4350" width="14.36328125" style="107" bestFit="1" customWidth="1"/>
    <col min="4351" max="4586" width="8.90625" style="107"/>
    <col min="4587" max="4587" width="7.6328125" style="107" customWidth="1"/>
    <col min="4588" max="4588" width="12.54296875" style="107" customWidth="1"/>
    <col min="4589" max="4589" width="9.36328125" style="107" customWidth="1"/>
    <col min="4590" max="4590" width="9.90625" style="107" customWidth="1"/>
    <col min="4591" max="4591" width="10.36328125" style="107" bestFit="1" customWidth="1"/>
    <col min="4592" max="4592" width="11.90625" style="107" customWidth="1"/>
    <col min="4593" max="4593" width="10.54296875" style="107" customWidth="1"/>
    <col min="4594" max="4594" width="13.36328125" style="107" customWidth="1"/>
    <col min="4595" max="4596" width="10.54296875" style="107" customWidth="1"/>
    <col min="4597" max="4597" width="10.6328125" style="107" customWidth="1"/>
    <col min="4598" max="4598" width="12.08984375" style="107" customWidth="1"/>
    <col min="4599" max="4602" width="10.54296875" style="107" customWidth="1"/>
    <col min="4603" max="4603" width="12.08984375" style="107" bestFit="1" customWidth="1"/>
    <col min="4604" max="4604" width="10.54296875" style="107" customWidth="1"/>
    <col min="4605" max="4605" width="11.36328125" style="107" customWidth="1"/>
    <col min="4606" max="4606" width="14.36328125" style="107" bestFit="1" customWidth="1"/>
    <col min="4607" max="4842" width="8.90625" style="107"/>
    <col min="4843" max="4843" width="7.6328125" style="107" customWidth="1"/>
    <col min="4844" max="4844" width="12.54296875" style="107" customWidth="1"/>
    <col min="4845" max="4845" width="9.36328125" style="107" customWidth="1"/>
    <col min="4846" max="4846" width="9.90625" style="107" customWidth="1"/>
    <col min="4847" max="4847" width="10.36328125" style="107" bestFit="1" customWidth="1"/>
    <col min="4848" max="4848" width="11.90625" style="107" customWidth="1"/>
    <col min="4849" max="4849" width="10.54296875" style="107" customWidth="1"/>
    <col min="4850" max="4850" width="13.36328125" style="107" customWidth="1"/>
    <col min="4851" max="4852" width="10.54296875" style="107" customWidth="1"/>
    <col min="4853" max="4853" width="10.6328125" style="107" customWidth="1"/>
    <col min="4854" max="4854" width="12.08984375" style="107" customWidth="1"/>
    <col min="4855" max="4858" width="10.54296875" style="107" customWidth="1"/>
    <col min="4859" max="4859" width="12.08984375" style="107" bestFit="1" customWidth="1"/>
    <col min="4860" max="4860" width="10.54296875" style="107" customWidth="1"/>
    <col min="4861" max="4861" width="11.36328125" style="107" customWidth="1"/>
    <col min="4862" max="4862" width="14.36328125" style="107" bestFit="1" customWidth="1"/>
    <col min="4863" max="5098" width="8.90625" style="107"/>
    <col min="5099" max="5099" width="7.6328125" style="107" customWidth="1"/>
    <col min="5100" max="5100" width="12.54296875" style="107" customWidth="1"/>
    <col min="5101" max="5101" width="9.36328125" style="107" customWidth="1"/>
    <col min="5102" max="5102" width="9.90625" style="107" customWidth="1"/>
    <col min="5103" max="5103" width="10.36328125" style="107" bestFit="1" customWidth="1"/>
    <col min="5104" max="5104" width="11.90625" style="107" customWidth="1"/>
    <col min="5105" max="5105" width="10.54296875" style="107" customWidth="1"/>
    <col min="5106" max="5106" width="13.36328125" style="107" customWidth="1"/>
    <col min="5107" max="5108" width="10.54296875" style="107" customWidth="1"/>
    <col min="5109" max="5109" width="10.6328125" style="107" customWidth="1"/>
    <col min="5110" max="5110" width="12.08984375" style="107" customWidth="1"/>
    <col min="5111" max="5114" width="10.54296875" style="107" customWidth="1"/>
    <col min="5115" max="5115" width="12.08984375" style="107" bestFit="1" customWidth="1"/>
    <col min="5116" max="5116" width="10.54296875" style="107" customWidth="1"/>
    <col min="5117" max="5117" width="11.36328125" style="107" customWidth="1"/>
    <col min="5118" max="5118" width="14.36328125" style="107" bestFit="1" customWidth="1"/>
    <col min="5119" max="5354" width="8.90625" style="107"/>
    <col min="5355" max="5355" width="7.6328125" style="107" customWidth="1"/>
    <col min="5356" max="5356" width="12.54296875" style="107" customWidth="1"/>
    <col min="5357" max="5357" width="9.36328125" style="107" customWidth="1"/>
    <col min="5358" max="5358" width="9.90625" style="107" customWidth="1"/>
    <col min="5359" max="5359" width="10.36328125" style="107" bestFit="1" customWidth="1"/>
    <col min="5360" max="5360" width="11.90625" style="107" customWidth="1"/>
    <col min="5361" max="5361" width="10.54296875" style="107" customWidth="1"/>
    <col min="5362" max="5362" width="13.36328125" style="107" customWidth="1"/>
    <col min="5363" max="5364" width="10.54296875" style="107" customWidth="1"/>
    <col min="5365" max="5365" width="10.6328125" style="107" customWidth="1"/>
    <col min="5366" max="5366" width="12.08984375" style="107" customWidth="1"/>
    <col min="5367" max="5370" width="10.54296875" style="107" customWidth="1"/>
    <col min="5371" max="5371" width="12.08984375" style="107" bestFit="1" customWidth="1"/>
    <col min="5372" max="5372" width="10.54296875" style="107" customWidth="1"/>
    <col min="5373" max="5373" width="11.36328125" style="107" customWidth="1"/>
    <col min="5374" max="5374" width="14.36328125" style="107" bestFit="1" customWidth="1"/>
    <col min="5375" max="5610" width="8.90625" style="107"/>
    <col min="5611" max="5611" width="7.6328125" style="107" customWidth="1"/>
    <col min="5612" max="5612" width="12.54296875" style="107" customWidth="1"/>
    <col min="5613" max="5613" width="9.36328125" style="107" customWidth="1"/>
    <col min="5614" max="5614" width="9.90625" style="107" customWidth="1"/>
    <col min="5615" max="5615" width="10.36328125" style="107" bestFit="1" customWidth="1"/>
    <col min="5616" max="5616" width="11.90625" style="107" customWidth="1"/>
    <col min="5617" max="5617" width="10.54296875" style="107" customWidth="1"/>
    <col min="5618" max="5618" width="13.36328125" style="107" customWidth="1"/>
    <col min="5619" max="5620" width="10.54296875" style="107" customWidth="1"/>
    <col min="5621" max="5621" width="10.6328125" style="107" customWidth="1"/>
    <col min="5622" max="5622" width="12.08984375" style="107" customWidth="1"/>
    <col min="5623" max="5626" width="10.54296875" style="107" customWidth="1"/>
    <col min="5627" max="5627" width="12.08984375" style="107" bestFit="1" customWidth="1"/>
    <col min="5628" max="5628" width="10.54296875" style="107" customWidth="1"/>
    <col min="5629" max="5629" width="11.36328125" style="107" customWidth="1"/>
    <col min="5630" max="5630" width="14.36328125" style="107" bestFit="1" customWidth="1"/>
    <col min="5631" max="5866" width="8.90625" style="107"/>
    <col min="5867" max="5867" width="7.6328125" style="107" customWidth="1"/>
    <col min="5868" max="5868" width="12.54296875" style="107" customWidth="1"/>
    <col min="5869" max="5869" width="9.36328125" style="107" customWidth="1"/>
    <col min="5870" max="5870" width="9.90625" style="107" customWidth="1"/>
    <col min="5871" max="5871" width="10.36328125" style="107" bestFit="1" customWidth="1"/>
    <col min="5872" max="5872" width="11.90625" style="107" customWidth="1"/>
    <col min="5873" max="5873" width="10.54296875" style="107" customWidth="1"/>
    <col min="5874" max="5874" width="13.36328125" style="107" customWidth="1"/>
    <col min="5875" max="5876" width="10.54296875" style="107" customWidth="1"/>
    <col min="5877" max="5877" width="10.6328125" style="107" customWidth="1"/>
    <col min="5878" max="5878" width="12.08984375" style="107" customWidth="1"/>
    <col min="5879" max="5882" width="10.54296875" style="107" customWidth="1"/>
    <col min="5883" max="5883" width="12.08984375" style="107" bestFit="1" customWidth="1"/>
    <col min="5884" max="5884" width="10.54296875" style="107" customWidth="1"/>
    <col min="5885" max="5885" width="11.36328125" style="107" customWidth="1"/>
    <col min="5886" max="5886" width="14.36328125" style="107" bestFit="1" customWidth="1"/>
    <col min="5887" max="6122" width="8.90625" style="107"/>
    <col min="6123" max="6123" width="7.6328125" style="107" customWidth="1"/>
    <col min="6124" max="6124" width="12.54296875" style="107" customWidth="1"/>
    <col min="6125" max="6125" width="9.36328125" style="107" customWidth="1"/>
    <col min="6126" max="6126" width="9.90625" style="107" customWidth="1"/>
    <col min="6127" max="6127" width="10.36328125" style="107" bestFit="1" customWidth="1"/>
    <col min="6128" max="6128" width="11.90625" style="107" customWidth="1"/>
    <col min="6129" max="6129" width="10.54296875" style="107" customWidth="1"/>
    <col min="6130" max="6130" width="13.36328125" style="107" customWidth="1"/>
    <col min="6131" max="6132" width="10.54296875" style="107" customWidth="1"/>
    <col min="6133" max="6133" width="10.6328125" style="107" customWidth="1"/>
    <col min="6134" max="6134" width="12.08984375" style="107" customWidth="1"/>
    <col min="6135" max="6138" width="10.54296875" style="107" customWidth="1"/>
    <col min="6139" max="6139" width="12.08984375" style="107" bestFit="1" customWidth="1"/>
    <col min="6140" max="6140" width="10.54296875" style="107" customWidth="1"/>
    <col min="6141" max="6141" width="11.36328125" style="107" customWidth="1"/>
    <col min="6142" max="6142" width="14.36328125" style="107" bestFit="1" customWidth="1"/>
    <col min="6143" max="6378" width="8.90625" style="107"/>
    <col min="6379" max="6379" width="7.6328125" style="107" customWidth="1"/>
    <col min="6380" max="6380" width="12.54296875" style="107" customWidth="1"/>
    <col min="6381" max="6381" width="9.36328125" style="107" customWidth="1"/>
    <col min="6382" max="6382" width="9.90625" style="107" customWidth="1"/>
    <col min="6383" max="6383" width="10.36328125" style="107" bestFit="1" customWidth="1"/>
    <col min="6384" max="6384" width="11.90625" style="107" customWidth="1"/>
    <col min="6385" max="6385" width="10.54296875" style="107" customWidth="1"/>
    <col min="6386" max="6386" width="13.36328125" style="107" customWidth="1"/>
    <col min="6387" max="6388" width="10.54296875" style="107" customWidth="1"/>
    <col min="6389" max="6389" width="10.6328125" style="107" customWidth="1"/>
    <col min="6390" max="6390" width="12.08984375" style="107" customWidth="1"/>
    <col min="6391" max="6394" width="10.54296875" style="107" customWidth="1"/>
    <col min="6395" max="6395" width="12.08984375" style="107" bestFit="1" customWidth="1"/>
    <col min="6396" max="6396" width="10.54296875" style="107" customWidth="1"/>
    <col min="6397" max="6397" width="11.36328125" style="107" customWidth="1"/>
    <col min="6398" max="6398" width="14.36328125" style="107" bestFit="1" customWidth="1"/>
    <col min="6399" max="6634" width="8.90625" style="107"/>
    <col min="6635" max="6635" width="7.6328125" style="107" customWidth="1"/>
    <col min="6636" max="6636" width="12.54296875" style="107" customWidth="1"/>
    <col min="6637" max="6637" width="9.36328125" style="107" customWidth="1"/>
    <col min="6638" max="6638" width="9.90625" style="107" customWidth="1"/>
    <col min="6639" max="6639" width="10.36328125" style="107" bestFit="1" customWidth="1"/>
    <col min="6640" max="6640" width="11.90625" style="107" customWidth="1"/>
    <col min="6641" max="6641" width="10.54296875" style="107" customWidth="1"/>
    <col min="6642" max="6642" width="13.36328125" style="107" customWidth="1"/>
    <col min="6643" max="6644" width="10.54296875" style="107" customWidth="1"/>
    <col min="6645" max="6645" width="10.6328125" style="107" customWidth="1"/>
    <col min="6646" max="6646" width="12.08984375" style="107" customWidth="1"/>
    <col min="6647" max="6650" width="10.54296875" style="107" customWidth="1"/>
    <col min="6651" max="6651" width="12.08984375" style="107" bestFit="1" customWidth="1"/>
    <col min="6652" max="6652" width="10.54296875" style="107" customWidth="1"/>
    <col min="6653" max="6653" width="11.36328125" style="107" customWidth="1"/>
    <col min="6654" max="6654" width="14.36328125" style="107" bestFit="1" customWidth="1"/>
    <col min="6655" max="6890" width="8.90625" style="107"/>
    <col min="6891" max="6891" width="7.6328125" style="107" customWidth="1"/>
    <col min="6892" max="6892" width="12.54296875" style="107" customWidth="1"/>
    <col min="6893" max="6893" width="9.36328125" style="107" customWidth="1"/>
    <col min="6894" max="6894" width="9.90625" style="107" customWidth="1"/>
    <col min="6895" max="6895" width="10.36328125" style="107" bestFit="1" customWidth="1"/>
    <col min="6896" max="6896" width="11.90625" style="107" customWidth="1"/>
    <col min="6897" max="6897" width="10.54296875" style="107" customWidth="1"/>
    <col min="6898" max="6898" width="13.36328125" style="107" customWidth="1"/>
    <col min="6899" max="6900" width="10.54296875" style="107" customWidth="1"/>
    <col min="6901" max="6901" width="10.6328125" style="107" customWidth="1"/>
    <col min="6902" max="6902" width="12.08984375" style="107" customWidth="1"/>
    <col min="6903" max="6906" width="10.54296875" style="107" customWidth="1"/>
    <col min="6907" max="6907" width="12.08984375" style="107" bestFit="1" customWidth="1"/>
    <col min="6908" max="6908" width="10.54296875" style="107" customWidth="1"/>
    <col min="6909" max="6909" width="11.36328125" style="107" customWidth="1"/>
    <col min="6910" max="6910" width="14.36328125" style="107" bestFit="1" customWidth="1"/>
    <col min="6911" max="7146" width="8.90625" style="107"/>
    <col min="7147" max="7147" width="7.6328125" style="107" customWidth="1"/>
    <col min="7148" max="7148" width="12.54296875" style="107" customWidth="1"/>
    <col min="7149" max="7149" width="9.36328125" style="107" customWidth="1"/>
    <col min="7150" max="7150" width="9.90625" style="107" customWidth="1"/>
    <col min="7151" max="7151" width="10.36328125" style="107" bestFit="1" customWidth="1"/>
    <col min="7152" max="7152" width="11.90625" style="107" customWidth="1"/>
    <col min="7153" max="7153" width="10.54296875" style="107" customWidth="1"/>
    <col min="7154" max="7154" width="13.36328125" style="107" customWidth="1"/>
    <col min="7155" max="7156" width="10.54296875" style="107" customWidth="1"/>
    <col min="7157" max="7157" width="10.6328125" style="107" customWidth="1"/>
    <col min="7158" max="7158" width="12.08984375" style="107" customWidth="1"/>
    <col min="7159" max="7162" width="10.54296875" style="107" customWidth="1"/>
    <col min="7163" max="7163" width="12.08984375" style="107" bestFit="1" customWidth="1"/>
    <col min="7164" max="7164" width="10.54296875" style="107" customWidth="1"/>
    <col min="7165" max="7165" width="11.36328125" style="107" customWidth="1"/>
    <col min="7166" max="7166" width="14.36328125" style="107" bestFit="1" customWidth="1"/>
    <col min="7167" max="7402" width="8.90625" style="107"/>
    <col min="7403" max="7403" width="7.6328125" style="107" customWidth="1"/>
    <col min="7404" max="7404" width="12.54296875" style="107" customWidth="1"/>
    <col min="7405" max="7405" width="9.36328125" style="107" customWidth="1"/>
    <col min="7406" max="7406" width="9.90625" style="107" customWidth="1"/>
    <col min="7407" max="7407" width="10.36328125" style="107" bestFit="1" customWidth="1"/>
    <col min="7408" max="7408" width="11.90625" style="107" customWidth="1"/>
    <col min="7409" max="7409" width="10.54296875" style="107" customWidth="1"/>
    <col min="7410" max="7410" width="13.36328125" style="107" customWidth="1"/>
    <col min="7411" max="7412" width="10.54296875" style="107" customWidth="1"/>
    <col min="7413" max="7413" width="10.6328125" style="107" customWidth="1"/>
    <col min="7414" max="7414" width="12.08984375" style="107" customWidth="1"/>
    <col min="7415" max="7418" width="10.54296875" style="107" customWidth="1"/>
    <col min="7419" max="7419" width="12.08984375" style="107" bestFit="1" customWidth="1"/>
    <col min="7420" max="7420" width="10.54296875" style="107" customWidth="1"/>
    <col min="7421" max="7421" width="11.36328125" style="107" customWidth="1"/>
    <col min="7422" max="7422" width="14.36328125" style="107" bestFit="1" customWidth="1"/>
    <col min="7423" max="7658" width="8.90625" style="107"/>
    <col min="7659" max="7659" width="7.6328125" style="107" customWidth="1"/>
    <col min="7660" max="7660" width="12.54296875" style="107" customWidth="1"/>
    <col min="7661" max="7661" width="9.36328125" style="107" customWidth="1"/>
    <col min="7662" max="7662" width="9.90625" style="107" customWidth="1"/>
    <col min="7663" max="7663" width="10.36328125" style="107" bestFit="1" customWidth="1"/>
    <col min="7664" max="7664" width="11.90625" style="107" customWidth="1"/>
    <col min="7665" max="7665" width="10.54296875" style="107" customWidth="1"/>
    <col min="7666" max="7666" width="13.36328125" style="107" customWidth="1"/>
    <col min="7667" max="7668" width="10.54296875" style="107" customWidth="1"/>
    <col min="7669" max="7669" width="10.6328125" style="107" customWidth="1"/>
    <col min="7670" max="7670" width="12.08984375" style="107" customWidth="1"/>
    <col min="7671" max="7674" width="10.54296875" style="107" customWidth="1"/>
    <col min="7675" max="7675" width="12.08984375" style="107" bestFit="1" customWidth="1"/>
    <col min="7676" max="7676" width="10.54296875" style="107" customWidth="1"/>
    <col min="7677" max="7677" width="11.36328125" style="107" customWidth="1"/>
    <col min="7678" max="7678" width="14.36328125" style="107" bestFit="1" customWidth="1"/>
    <col min="7679" max="7914" width="8.90625" style="107"/>
    <col min="7915" max="7915" width="7.6328125" style="107" customWidth="1"/>
    <col min="7916" max="7916" width="12.54296875" style="107" customWidth="1"/>
    <col min="7917" max="7917" width="9.36328125" style="107" customWidth="1"/>
    <col min="7918" max="7918" width="9.90625" style="107" customWidth="1"/>
    <col min="7919" max="7919" width="10.36328125" style="107" bestFit="1" customWidth="1"/>
    <col min="7920" max="7920" width="11.90625" style="107" customWidth="1"/>
    <col min="7921" max="7921" width="10.54296875" style="107" customWidth="1"/>
    <col min="7922" max="7922" width="13.36328125" style="107" customWidth="1"/>
    <col min="7923" max="7924" width="10.54296875" style="107" customWidth="1"/>
    <col min="7925" max="7925" width="10.6328125" style="107" customWidth="1"/>
    <col min="7926" max="7926" width="12.08984375" style="107" customWidth="1"/>
    <col min="7927" max="7930" width="10.54296875" style="107" customWidth="1"/>
    <col min="7931" max="7931" width="12.08984375" style="107" bestFit="1" customWidth="1"/>
    <col min="7932" max="7932" width="10.54296875" style="107" customWidth="1"/>
    <col min="7933" max="7933" width="11.36328125" style="107" customWidth="1"/>
    <col min="7934" max="7934" width="14.36328125" style="107" bestFit="1" customWidth="1"/>
    <col min="7935" max="8170" width="8.90625" style="107"/>
    <col min="8171" max="8171" width="7.6328125" style="107" customWidth="1"/>
    <col min="8172" max="8172" width="12.54296875" style="107" customWidth="1"/>
    <col min="8173" max="8173" width="9.36328125" style="107" customWidth="1"/>
    <col min="8174" max="8174" width="9.90625" style="107" customWidth="1"/>
    <col min="8175" max="8175" width="10.36328125" style="107" bestFit="1" customWidth="1"/>
    <col min="8176" max="8176" width="11.90625" style="107" customWidth="1"/>
    <col min="8177" max="8177" width="10.54296875" style="107" customWidth="1"/>
    <col min="8178" max="8178" width="13.36328125" style="107" customWidth="1"/>
    <col min="8179" max="8180" width="10.54296875" style="107" customWidth="1"/>
    <col min="8181" max="8181" width="10.6328125" style="107" customWidth="1"/>
    <col min="8182" max="8182" width="12.08984375" style="107" customWidth="1"/>
    <col min="8183" max="8186" width="10.54296875" style="107" customWidth="1"/>
    <col min="8187" max="8187" width="12.08984375" style="107" bestFit="1" customWidth="1"/>
    <col min="8188" max="8188" width="10.54296875" style="107" customWidth="1"/>
    <col min="8189" max="8189" width="11.36328125" style="107" customWidth="1"/>
    <col min="8190" max="8190" width="14.36328125" style="107" bestFit="1" customWidth="1"/>
    <col min="8191" max="8426" width="8.90625" style="107"/>
    <col min="8427" max="8427" width="7.6328125" style="107" customWidth="1"/>
    <col min="8428" max="8428" width="12.54296875" style="107" customWidth="1"/>
    <col min="8429" max="8429" width="9.36328125" style="107" customWidth="1"/>
    <col min="8430" max="8430" width="9.90625" style="107" customWidth="1"/>
    <col min="8431" max="8431" width="10.36328125" style="107" bestFit="1" customWidth="1"/>
    <col min="8432" max="8432" width="11.90625" style="107" customWidth="1"/>
    <col min="8433" max="8433" width="10.54296875" style="107" customWidth="1"/>
    <col min="8434" max="8434" width="13.36328125" style="107" customWidth="1"/>
    <col min="8435" max="8436" width="10.54296875" style="107" customWidth="1"/>
    <col min="8437" max="8437" width="10.6328125" style="107" customWidth="1"/>
    <col min="8438" max="8438" width="12.08984375" style="107" customWidth="1"/>
    <col min="8439" max="8442" width="10.54296875" style="107" customWidth="1"/>
    <col min="8443" max="8443" width="12.08984375" style="107" bestFit="1" customWidth="1"/>
    <col min="8444" max="8444" width="10.54296875" style="107" customWidth="1"/>
    <col min="8445" max="8445" width="11.36328125" style="107" customWidth="1"/>
    <col min="8446" max="8446" width="14.36328125" style="107" bestFit="1" customWidth="1"/>
    <col min="8447" max="8682" width="8.90625" style="107"/>
    <col min="8683" max="8683" width="7.6328125" style="107" customWidth="1"/>
    <col min="8684" max="8684" width="12.54296875" style="107" customWidth="1"/>
    <col min="8685" max="8685" width="9.36328125" style="107" customWidth="1"/>
    <col min="8686" max="8686" width="9.90625" style="107" customWidth="1"/>
    <col min="8687" max="8687" width="10.36328125" style="107" bestFit="1" customWidth="1"/>
    <col min="8688" max="8688" width="11.90625" style="107" customWidth="1"/>
    <col min="8689" max="8689" width="10.54296875" style="107" customWidth="1"/>
    <col min="8690" max="8690" width="13.36328125" style="107" customWidth="1"/>
    <col min="8691" max="8692" width="10.54296875" style="107" customWidth="1"/>
    <col min="8693" max="8693" width="10.6328125" style="107" customWidth="1"/>
    <col min="8694" max="8694" width="12.08984375" style="107" customWidth="1"/>
    <col min="8695" max="8698" width="10.54296875" style="107" customWidth="1"/>
    <col min="8699" max="8699" width="12.08984375" style="107" bestFit="1" customWidth="1"/>
    <col min="8700" max="8700" width="10.54296875" style="107" customWidth="1"/>
    <col min="8701" max="8701" width="11.36328125" style="107" customWidth="1"/>
    <col min="8702" max="8702" width="14.36328125" style="107" bestFit="1" customWidth="1"/>
    <col min="8703" max="8938" width="8.90625" style="107"/>
    <col min="8939" max="8939" width="7.6328125" style="107" customWidth="1"/>
    <col min="8940" max="8940" width="12.54296875" style="107" customWidth="1"/>
    <col min="8941" max="8941" width="9.36328125" style="107" customWidth="1"/>
    <col min="8942" max="8942" width="9.90625" style="107" customWidth="1"/>
    <col min="8943" max="8943" width="10.36328125" style="107" bestFit="1" customWidth="1"/>
    <col min="8944" max="8944" width="11.90625" style="107" customWidth="1"/>
    <col min="8945" max="8945" width="10.54296875" style="107" customWidth="1"/>
    <col min="8946" max="8946" width="13.36328125" style="107" customWidth="1"/>
    <col min="8947" max="8948" width="10.54296875" style="107" customWidth="1"/>
    <col min="8949" max="8949" width="10.6328125" style="107" customWidth="1"/>
    <col min="8950" max="8950" width="12.08984375" style="107" customWidth="1"/>
    <col min="8951" max="8954" width="10.54296875" style="107" customWidth="1"/>
    <col min="8955" max="8955" width="12.08984375" style="107" bestFit="1" customWidth="1"/>
    <col min="8956" max="8956" width="10.54296875" style="107" customWidth="1"/>
    <col min="8957" max="8957" width="11.36328125" style="107" customWidth="1"/>
    <col min="8958" max="8958" width="14.36328125" style="107" bestFit="1" customWidth="1"/>
    <col min="8959" max="9194" width="8.90625" style="107"/>
    <col min="9195" max="9195" width="7.6328125" style="107" customWidth="1"/>
    <col min="9196" max="9196" width="12.54296875" style="107" customWidth="1"/>
    <col min="9197" max="9197" width="9.36328125" style="107" customWidth="1"/>
    <col min="9198" max="9198" width="9.90625" style="107" customWidth="1"/>
    <col min="9199" max="9199" width="10.36328125" style="107" bestFit="1" customWidth="1"/>
    <col min="9200" max="9200" width="11.90625" style="107" customWidth="1"/>
    <col min="9201" max="9201" width="10.54296875" style="107" customWidth="1"/>
    <col min="9202" max="9202" width="13.36328125" style="107" customWidth="1"/>
    <col min="9203" max="9204" width="10.54296875" style="107" customWidth="1"/>
    <col min="9205" max="9205" width="10.6328125" style="107" customWidth="1"/>
    <col min="9206" max="9206" width="12.08984375" style="107" customWidth="1"/>
    <col min="9207" max="9210" width="10.54296875" style="107" customWidth="1"/>
    <col min="9211" max="9211" width="12.08984375" style="107" bestFit="1" customWidth="1"/>
    <col min="9212" max="9212" width="10.54296875" style="107" customWidth="1"/>
    <col min="9213" max="9213" width="11.36328125" style="107" customWidth="1"/>
    <col min="9214" max="9214" width="14.36328125" style="107" bestFit="1" customWidth="1"/>
    <col min="9215" max="9450" width="8.90625" style="107"/>
    <col min="9451" max="9451" width="7.6328125" style="107" customWidth="1"/>
    <col min="9452" max="9452" width="12.54296875" style="107" customWidth="1"/>
    <col min="9453" max="9453" width="9.36328125" style="107" customWidth="1"/>
    <col min="9454" max="9454" width="9.90625" style="107" customWidth="1"/>
    <col min="9455" max="9455" width="10.36328125" style="107" bestFit="1" customWidth="1"/>
    <col min="9456" max="9456" width="11.90625" style="107" customWidth="1"/>
    <col min="9457" max="9457" width="10.54296875" style="107" customWidth="1"/>
    <col min="9458" max="9458" width="13.36328125" style="107" customWidth="1"/>
    <col min="9459" max="9460" width="10.54296875" style="107" customWidth="1"/>
    <col min="9461" max="9461" width="10.6328125" style="107" customWidth="1"/>
    <col min="9462" max="9462" width="12.08984375" style="107" customWidth="1"/>
    <col min="9463" max="9466" width="10.54296875" style="107" customWidth="1"/>
    <col min="9467" max="9467" width="12.08984375" style="107" bestFit="1" customWidth="1"/>
    <col min="9468" max="9468" width="10.54296875" style="107" customWidth="1"/>
    <col min="9469" max="9469" width="11.36328125" style="107" customWidth="1"/>
    <col min="9470" max="9470" width="14.36328125" style="107" bestFit="1" customWidth="1"/>
    <col min="9471" max="9706" width="8.90625" style="107"/>
    <col min="9707" max="9707" width="7.6328125" style="107" customWidth="1"/>
    <col min="9708" max="9708" width="12.54296875" style="107" customWidth="1"/>
    <col min="9709" max="9709" width="9.36328125" style="107" customWidth="1"/>
    <col min="9710" max="9710" width="9.90625" style="107" customWidth="1"/>
    <col min="9711" max="9711" width="10.36328125" style="107" bestFit="1" customWidth="1"/>
    <col min="9712" max="9712" width="11.90625" style="107" customWidth="1"/>
    <col min="9713" max="9713" width="10.54296875" style="107" customWidth="1"/>
    <col min="9714" max="9714" width="13.36328125" style="107" customWidth="1"/>
    <col min="9715" max="9716" width="10.54296875" style="107" customWidth="1"/>
    <col min="9717" max="9717" width="10.6328125" style="107" customWidth="1"/>
    <col min="9718" max="9718" width="12.08984375" style="107" customWidth="1"/>
    <col min="9719" max="9722" width="10.54296875" style="107" customWidth="1"/>
    <col min="9723" max="9723" width="12.08984375" style="107" bestFit="1" customWidth="1"/>
    <col min="9724" max="9724" width="10.54296875" style="107" customWidth="1"/>
    <col min="9725" max="9725" width="11.36328125" style="107" customWidth="1"/>
    <col min="9726" max="9726" width="14.36328125" style="107" bestFit="1" customWidth="1"/>
    <col min="9727" max="9962" width="8.90625" style="107"/>
    <col min="9963" max="9963" width="7.6328125" style="107" customWidth="1"/>
    <col min="9964" max="9964" width="12.54296875" style="107" customWidth="1"/>
    <col min="9965" max="9965" width="9.36328125" style="107" customWidth="1"/>
    <col min="9966" max="9966" width="9.90625" style="107" customWidth="1"/>
    <col min="9967" max="9967" width="10.36328125" style="107" bestFit="1" customWidth="1"/>
    <col min="9968" max="9968" width="11.90625" style="107" customWidth="1"/>
    <col min="9969" max="9969" width="10.54296875" style="107" customWidth="1"/>
    <col min="9970" max="9970" width="13.36328125" style="107" customWidth="1"/>
    <col min="9971" max="9972" width="10.54296875" style="107" customWidth="1"/>
    <col min="9973" max="9973" width="10.6328125" style="107" customWidth="1"/>
    <col min="9974" max="9974" width="12.08984375" style="107" customWidth="1"/>
    <col min="9975" max="9978" width="10.54296875" style="107" customWidth="1"/>
    <col min="9979" max="9979" width="12.08984375" style="107" bestFit="1" customWidth="1"/>
    <col min="9980" max="9980" width="10.54296875" style="107" customWidth="1"/>
    <col min="9981" max="9981" width="11.36328125" style="107" customWidth="1"/>
    <col min="9982" max="9982" width="14.36328125" style="107" bestFit="1" customWidth="1"/>
    <col min="9983" max="10218" width="8.90625" style="107"/>
    <col min="10219" max="10219" width="7.6328125" style="107" customWidth="1"/>
    <col min="10220" max="10220" width="12.54296875" style="107" customWidth="1"/>
    <col min="10221" max="10221" width="9.36328125" style="107" customWidth="1"/>
    <col min="10222" max="10222" width="9.90625" style="107" customWidth="1"/>
    <col min="10223" max="10223" width="10.36328125" style="107" bestFit="1" customWidth="1"/>
    <col min="10224" max="10224" width="11.90625" style="107" customWidth="1"/>
    <col min="10225" max="10225" width="10.54296875" style="107" customWidth="1"/>
    <col min="10226" max="10226" width="13.36328125" style="107" customWidth="1"/>
    <col min="10227" max="10228" width="10.54296875" style="107" customWidth="1"/>
    <col min="10229" max="10229" width="10.6328125" style="107" customWidth="1"/>
    <col min="10230" max="10230" width="12.08984375" style="107" customWidth="1"/>
    <col min="10231" max="10234" width="10.54296875" style="107" customWidth="1"/>
    <col min="10235" max="10235" width="12.08984375" style="107" bestFit="1" customWidth="1"/>
    <col min="10236" max="10236" width="10.54296875" style="107" customWidth="1"/>
    <col min="10237" max="10237" width="11.36328125" style="107" customWidth="1"/>
    <col min="10238" max="10238" width="14.36328125" style="107" bestFit="1" customWidth="1"/>
    <col min="10239" max="10474" width="8.90625" style="107"/>
    <col min="10475" max="10475" width="7.6328125" style="107" customWidth="1"/>
    <col min="10476" max="10476" width="12.54296875" style="107" customWidth="1"/>
    <col min="10477" max="10477" width="9.36328125" style="107" customWidth="1"/>
    <col min="10478" max="10478" width="9.90625" style="107" customWidth="1"/>
    <col min="10479" max="10479" width="10.36328125" style="107" bestFit="1" customWidth="1"/>
    <col min="10480" max="10480" width="11.90625" style="107" customWidth="1"/>
    <col min="10481" max="10481" width="10.54296875" style="107" customWidth="1"/>
    <col min="10482" max="10482" width="13.36328125" style="107" customWidth="1"/>
    <col min="10483" max="10484" width="10.54296875" style="107" customWidth="1"/>
    <col min="10485" max="10485" width="10.6328125" style="107" customWidth="1"/>
    <col min="10486" max="10486" width="12.08984375" style="107" customWidth="1"/>
    <col min="10487" max="10490" width="10.54296875" style="107" customWidth="1"/>
    <col min="10491" max="10491" width="12.08984375" style="107" bestFit="1" customWidth="1"/>
    <col min="10492" max="10492" width="10.54296875" style="107" customWidth="1"/>
    <col min="10493" max="10493" width="11.36328125" style="107" customWidth="1"/>
    <col min="10494" max="10494" width="14.36328125" style="107" bestFit="1" customWidth="1"/>
    <col min="10495" max="10730" width="8.90625" style="107"/>
    <col min="10731" max="10731" width="7.6328125" style="107" customWidth="1"/>
    <col min="10732" max="10732" width="12.54296875" style="107" customWidth="1"/>
    <col min="10733" max="10733" width="9.36328125" style="107" customWidth="1"/>
    <col min="10734" max="10734" width="9.90625" style="107" customWidth="1"/>
    <col min="10735" max="10735" width="10.36328125" style="107" bestFit="1" customWidth="1"/>
    <col min="10736" max="10736" width="11.90625" style="107" customWidth="1"/>
    <col min="10737" max="10737" width="10.54296875" style="107" customWidth="1"/>
    <col min="10738" max="10738" width="13.36328125" style="107" customWidth="1"/>
    <col min="10739" max="10740" width="10.54296875" style="107" customWidth="1"/>
    <col min="10741" max="10741" width="10.6328125" style="107" customWidth="1"/>
    <col min="10742" max="10742" width="12.08984375" style="107" customWidth="1"/>
    <col min="10743" max="10746" width="10.54296875" style="107" customWidth="1"/>
    <col min="10747" max="10747" width="12.08984375" style="107" bestFit="1" customWidth="1"/>
    <col min="10748" max="10748" width="10.54296875" style="107" customWidth="1"/>
    <col min="10749" max="10749" width="11.36328125" style="107" customWidth="1"/>
    <col min="10750" max="10750" width="14.36328125" style="107" bestFit="1" customWidth="1"/>
    <col min="10751" max="10986" width="8.90625" style="107"/>
    <col min="10987" max="10987" width="7.6328125" style="107" customWidth="1"/>
    <col min="10988" max="10988" width="12.54296875" style="107" customWidth="1"/>
    <col min="10989" max="10989" width="9.36328125" style="107" customWidth="1"/>
    <col min="10990" max="10990" width="9.90625" style="107" customWidth="1"/>
    <col min="10991" max="10991" width="10.36328125" style="107" bestFit="1" customWidth="1"/>
    <col min="10992" max="10992" width="11.90625" style="107" customWidth="1"/>
    <col min="10993" max="10993" width="10.54296875" style="107" customWidth="1"/>
    <col min="10994" max="10994" width="13.36328125" style="107" customWidth="1"/>
    <col min="10995" max="10996" width="10.54296875" style="107" customWidth="1"/>
    <col min="10997" max="10997" width="10.6328125" style="107" customWidth="1"/>
    <col min="10998" max="10998" width="12.08984375" style="107" customWidth="1"/>
    <col min="10999" max="11002" width="10.54296875" style="107" customWidth="1"/>
    <col min="11003" max="11003" width="12.08984375" style="107" bestFit="1" customWidth="1"/>
    <col min="11004" max="11004" width="10.54296875" style="107" customWidth="1"/>
    <col min="11005" max="11005" width="11.36328125" style="107" customWidth="1"/>
    <col min="11006" max="11006" width="14.36328125" style="107" bestFit="1" customWidth="1"/>
    <col min="11007" max="11242" width="8.90625" style="107"/>
    <col min="11243" max="11243" width="7.6328125" style="107" customWidth="1"/>
    <col min="11244" max="11244" width="12.54296875" style="107" customWidth="1"/>
    <col min="11245" max="11245" width="9.36328125" style="107" customWidth="1"/>
    <col min="11246" max="11246" width="9.90625" style="107" customWidth="1"/>
    <col min="11247" max="11247" width="10.36328125" style="107" bestFit="1" customWidth="1"/>
    <col min="11248" max="11248" width="11.90625" style="107" customWidth="1"/>
    <col min="11249" max="11249" width="10.54296875" style="107" customWidth="1"/>
    <col min="11250" max="11250" width="13.36328125" style="107" customWidth="1"/>
    <col min="11251" max="11252" width="10.54296875" style="107" customWidth="1"/>
    <col min="11253" max="11253" width="10.6328125" style="107" customWidth="1"/>
    <col min="11254" max="11254" width="12.08984375" style="107" customWidth="1"/>
    <col min="11255" max="11258" width="10.54296875" style="107" customWidth="1"/>
    <col min="11259" max="11259" width="12.08984375" style="107" bestFit="1" customWidth="1"/>
    <col min="11260" max="11260" width="10.54296875" style="107" customWidth="1"/>
    <col min="11261" max="11261" width="11.36328125" style="107" customWidth="1"/>
    <col min="11262" max="11262" width="14.36328125" style="107" bestFit="1" customWidth="1"/>
    <col min="11263" max="11498" width="8.90625" style="107"/>
    <col min="11499" max="11499" width="7.6328125" style="107" customWidth="1"/>
    <col min="11500" max="11500" width="12.54296875" style="107" customWidth="1"/>
    <col min="11501" max="11501" width="9.36328125" style="107" customWidth="1"/>
    <col min="11502" max="11502" width="9.90625" style="107" customWidth="1"/>
    <col min="11503" max="11503" width="10.36328125" style="107" bestFit="1" customWidth="1"/>
    <col min="11504" max="11504" width="11.90625" style="107" customWidth="1"/>
    <col min="11505" max="11505" width="10.54296875" style="107" customWidth="1"/>
    <col min="11506" max="11506" width="13.36328125" style="107" customWidth="1"/>
    <col min="11507" max="11508" width="10.54296875" style="107" customWidth="1"/>
    <col min="11509" max="11509" width="10.6328125" style="107" customWidth="1"/>
    <col min="11510" max="11510" width="12.08984375" style="107" customWidth="1"/>
    <col min="11511" max="11514" width="10.54296875" style="107" customWidth="1"/>
    <col min="11515" max="11515" width="12.08984375" style="107" bestFit="1" customWidth="1"/>
    <col min="11516" max="11516" width="10.54296875" style="107" customWidth="1"/>
    <col min="11517" max="11517" width="11.36328125" style="107" customWidth="1"/>
    <col min="11518" max="11518" width="14.36328125" style="107" bestFit="1" customWidth="1"/>
    <col min="11519" max="11754" width="8.90625" style="107"/>
    <col min="11755" max="11755" width="7.6328125" style="107" customWidth="1"/>
    <col min="11756" max="11756" width="12.54296875" style="107" customWidth="1"/>
    <col min="11757" max="11757" width="9.36328125" style="107" customWidth="1"/>
    <col min="11758" max="11758" width="9.90625" style="107" customWidth="1"/>
    <col min="11759" max="11759" width="10.36328125" style="107" bestFit="1" customWidth="1"/>
    <col min="11760" max="11760" width="11.90625" style="107" customWidth="1"/>
    <col min="11761" max="11761" width="10.54296875" style="107" customWidth="1"/>
    <col min="11762" max="11762" width="13.36328125" style="107" customWidth="1"/>
    <col min="11763" max="11764" width="10.54296875" style="107" customWidth="1"/>
    <col min="11765" max="11765" width="10.6328125" style="107" customWidth="1"/>
    <col min="11766" max="11766" width="12.08984375" style="107" customWidth="1"/>
    <col min="11767" max="11770" width="10.54296875" style="107" customWidth="1"/>
    <col min="11771" max="11771" width="12.08984375" style="107" bestFit="1" customWidth="1"/>
    <col min="11772" max="11772" width="10.54296875" style="107" customWidth="1"/>
    <col min="11773" max="11773" width="11.36328125" style="107" customWidth="1"/>
    <col min="11774" max="11774" width="14.36328125" style="107" bestFit="1" customWidth="1"/>
    <col min="11775" max="12010" width="8.90625" style="107"/>
    <col min="12011" max="12011" width="7.6328125" style="107" customWidth="1"/>
    <col min="12012" max="12012" width="12.54296875" style="107" customWidth="1"/>
    <col min="12013" max="12013" width="9.36328125" style="107" customWidth="1"/>
    <col min="12014" max="12014" width="9.90625" style="107" customWidth="1"/>
    <col min="12015" max="12015" width="10.36328125" style="107" bestFit="1" customWidth="1"/>
    <col min="12016" max="12016" width="11.90625" style="107" customWidth="1"/>
    <col min="12017" max="12017" width="10.54296875" style="107" customWidth="1"/>
    <col min="12018" max="12018" width="13.36328125" style="107" customWidth="1"/>
    <col min="12019" max="12020" width="10.54296875" style="107" customWidth="1"/>
    <col min="12021" max="12021" width="10.6328125" style="107" customWidth="1"/>
    <col min="12022" max="12022" width="12.08984375" style="107" customWidth="1"/>
    <col min="12023" max="12026" width="10.54296875" style="107" customWidth="1"/>
    <col min="12027" max="12027" width="12.08984375" style="107" bestFit="1" customWidth="1"/>
    <col min="12028" max="12028" width="10.54296875" style="107" customWidth="1"/>
    <col min="12029" max="12029" width="11.36328125" style="107" customWidth="1"/>
    <col min="12030" max="12030" width="14.36328125" style="107" bestFit="1" customWidth="1"/>
    <col min="12031" max="12266" width="8.90625" style="107"/>
    <col min="12267" max="12267" width="7.6328125" style="107" customWidth="1"/>
    <col min="12268" max="12268" width="12.54296875" style="107" customWidth="1"/>
    <col min="12269" max="12269" width="9.36328125" style="107" customWidth="1"/>
    <col min="12270" max="12270" width="9.90625" style="107" customWidth="1"/>
    <col min="12271" max="12271" width="10.36328125" style="107" bestFit="1" customWidth="1"/>
    <col min="12272" max="12272" width="11.90625" style="107" customWidth="1"/>
    <col min="12273" max="12273" width="10.54296875" style="107" customWidth="1"/>
    <col min="12274" max="12274" width="13.36328125" style="107" customWidth="1"/>
    <col min="12275" max="12276" width="10.54296875" style="107" customWidth="1"/>
    <col min="12277" max="12277" width="10.6328125" style="107" customWidth="1"/>
    <col min="12278" max="12278" width="12.08984375" style="107" customWidth="1"/>
    <col min="12279" max="12282" width="10.54296875" style="107" customWidth="1"/>
    <col min="12283" max="12283" width="12.08984375" style="107" bestFit="1" customWidth="1"/>
    <col min="12284" max="12284" width="10.54296875" style="107" customWidth="1"/>
    <col min="12285" max="12285" width="11.36328125" style="107" customWidth="1"/>
    <col min="12286" max="12286" width="14.36328125" style="107" bestFit="1" customWidth="1"/>
    <col min="12287" max="12522" width="8.90625" style="107"/>
    <col min="12523" max="12523" width="7.6328125" style="107" customWidth="1"/>
    <col min="12524" max="12524" width="12.54296875" style="107" customWidth="1"/>
    <col min="12525" max="12525" width="9.36328125" style="107" customWidth="1"/>
    <col min="12526" max="12526" width="9.90625" style="107" customWidth="1"/>
    <col min="12527" max="12527" width="10.36328125" style="107" bestFit="1" customWidth="1"/>
    <col min="12528" max="12528" width="11.90625" style="107" customWidth="1"/>
    <col min="12529" max="12529" width="10.54296875" style="107" customWidth="1"/>
    <col min="12530" max="12530" width="13.36328125" style="107" customWidth="1"/>
    <col min="12531" max="12532" width="10.54296875" style="107" customWidth="1"/>
    <col min="12533" max="12533" width="10.6328125" style="107" customWidth="1"/>
    <col min="12534" max="12534" width="12.08984375" style="107" customWidth="1"/>
    <col min="12535" max="12538" width="10.54296875" style="107" customWidth="1"/>
    <col min="12539" max="12539" width="12.08984375" style="107" bestFit="1" customWidth="1"/>
    <col min="12540" max="12540" width="10.54296875" style="107" customWidth="1"/>
    <col min="12541" max="12541" width="11.36328125" style="107" customWidth="1"/>
    <col min="12542" max="12542" width="14.36328125" style="107" bestFit="1" customWidth="1"/>
    <col min="12543" max="12778" width="8.90625" style="107"/>
    <col min="12779" max="12779" width="7.6328125" style="107" customWidth="1"/>
    <col min="12780" max="12780" width="12.54296875" style="107" customWidth="1"/>
    <col min="12781" max="12781" width="9.36328125" style="107" customWidth="1"/>
    <col min="12782" max="12782" width="9.90625" style="107" customWidth="1"/>
    <col min="12783" max="12783" width="10.36328125" style="107" bestFit="1" customWidth="1"/>
    <col min="12784" max="12784" width="11.90625" style="107" customWidth="1"/>
    <col min="12785" max="12785" width="10.54296875" style="107" customWidth="1"/>
    <col min="12786" max="12786" width="13.36328125" style="107" customWidth="1"/>
    <col min="12787" max="12788" width="10.54296875" style="107" customWidth="1"/>
    <col min="12789" max="12789" width="10.6328125" style="107" customWidth="1"/>
    <col min="12790" max="12790" width="12.08984375" style="107" customWidth="1"/>
    <col min="12791" max="12794" width="10.54296875" style="107" customWidth="1"/>
    <col min="12795" max="12795" width="12.08984375" style="107" bestFit="1" customWidth="1"/>
    <col min="12796" max="12796" width="10.54296875" style="107" customWidth="1"/>
    <col min="12797" max="12797" width="11.36328125" style="107" customWidth="1"/>
    <col min="12798" max="12798" width="14.36328125" style="107" bestFit="1" customWidth="1"/>
    <col min="12799" max="13034" width="8.90625" style="107"/>
    <col min="13035" max="13035" width="7.6328125" style="107" customWidth="1"/>
    <col min="13036" max="13036" width="12.54296875" style="107" customWidth="1"/>
    <col min="13037" max="13037" width="9.36328125" style="107" customWidth="1"/>
    <col min="13038" max="13038" width="9.90625" style="107" customWidth="1"/>
    <col min="13039" max="13039" width="10.36328125" style="107" bestFit="1" customWidth="1"/>
    <col min="13040" max="13040" width="11.90625" style="107" customWidth="1"/>
    <col min="13041" max="13041" width="10.54296875" style="107" customWidth="1"/>
    <col min="13042" max="13042" width="13.36328125" style="107" customWidth="1"/>
    <col min="13043" max="13044" width="10.54296875" style="107" customWidth="1"/>
    <col min="13045" max="13045" width="10.6328125" style="107" customWidth="1"/>
    <col min="13046" max="13046" width="12.08984375" style="107" customWidth="1"/>
    <col min="13047" max="13050" width="10.54296875" style="107" customWidth="1"/>
    <col min="13051" max="13051" width="12.08984375" style="107" bestFit="1" customWidth="1"/>
    <col min="13052" max="13052" width="10.54296875" style="107" customWidth="1"/>
    <col min="13053" max="13053" width="11.36328125" style="107" customWidth="1"/>
    <col min="13054" max="13054" width="14.36328125" style="107" bestFit="1" customWidth="1"/>
    <col min="13055" max="13290" width="8.90625" style="107"/>
    <col min="13291" max="13291" width="7.6328125" style="107" customWidth="1"/>
    <col min="13292" max="13292" width="12.54296875" style="107" customWidth="1"/>
    <col min="13293" max="13293" width="9.36328125" style="107" customWidth="1"/>
    <col min="13294" max="13294" width="9.90625" style="107" customWidth="1"/>
    <col min="13295" max="13295" width="10.36328125" style="107" bestFit="1" customWidth="1"/>
    <col min="13296" max="13296" width="11.90625" style="107" customWidth="1"/>
    <col min="13297" max="13297" width="10.54296875" style="107" customWidth="1"/>
    <col min="13298" max="13298" width="13.36328125" style="107" customWidth="1"/>
    <col min="13299" max="13300" width="10.54296875" style="107" customWidth="1"/>
    <col min="13301" max="13301" width="10.6328125" style="107" customWidth="1"/>
    <col min="13302" max="13302" width="12.08984375" style="107" customWidth="1"/>
    <col min="13303" max="13306" width="10.54296875" style="107" customWidth="1"/>
    <col min="13307" max="13307" width="12.08984375" style="107" bestFit="1" customWidth="1"/>
    <col min="13308" max="13308" width="10.54296875" style="107" customWidth="1"/>
    <col min="13309" max="13309" width="11.36328125" style="107" customWidth="1"/>
    <col min="13310" max="13310" width="14.36328125" style="107" bestFit="1" customWidth="1"/>
    <col min="13311" max="13546" width="8.90625" style="107"/>
    <col min="13547" max="13547" width="7.6328125" style="107" customWidth="1"/>
    <col min="13548" max="13548" width="12.54296875" style="107" customWidth="1"/>
    <col min="13549" max="13549" width="9.36328125" style="107" customWidth="1"/>
    <col min="13550" max="13550" width="9.90625" style="107" customWidth="1"/>
    <col min="13551" max="13551" width="10.36328125" style="107" bestFit="1" customWidth="1"/>
    <col min="13552" max="13552" width="11.90625" style="107" customWidth="1"/>
    <col min="13553" max="13553" width="10.54296875" style="107" customWidth="1"/>
    <col min="13554" max="13554" width="13.36328125" style="107" customWidth="1"/>
    <col min="13555" max="13556" width="10.54296875" style="107" customWidth="1"/>
    <col min="13557" max="13557" width="10.6328125" style="107" customWidth="1"/>
    <col min="13558" max="13558" width="12.08984375" style="107" customWidth="1"/>
    <col min="13559" max="13562" width="10.54296875" style="107" customWidth="1"/>
    <col min="13563" max="13563" width="12.08984375" style="107" bestFit="1" customWidth="1"/>
    <col min="13564" max="13564" width="10.54296875" style="107" customWidth="1"/>
    <col min="13565" max="13565" width="11.36328125" style="107" customWidth="1"/>
    <col min="13566" max="13566" width="14.36328125" style="107" bestFit="1" customWidth="1"/>
    <col min="13567" max="13802" width="8.90625" style="107"/>
    <col min="13803" max="13803" width="7.6328125" style="107" customWidth="1"/>
    <col min="13804" max="13804" width="12.54296875" style="107" customWidth="1"/>
    <col min="13805" max="13805" width="9.36328125" style="107" customWidth="1"/>
    <col min="13806" max="13806" width="9.90625" style="107" customWidth="1"/>
    <col min="13807" max="13807" width="10.36328125" style="107" bestFit="1" customWidth="1"/>
    <col min="13808" max="13808" width="11.90625" style="107" customWidth="1"/>
    <col min="13809" max="13809" width="10.54296875" style="107" customWidth="1"/>
    <col min="13810" max="13810" width="13.36328125" style="107" customWidth="1"/>
    <col min="13811" max="13812" width="10.54296875" style="107" customWidth="1"/>
    <col min="13813" max="13813" width="10.6328125" style="107" customWidth="1"/>
    <col min="13814" max="13814" width="12.08984375" style="107" customWidth="1"/>
    <col min="13815" max="13818" width="10.54296875" style="107" customWidth="1"/>
    <col min="13819" max="13819" width="12.08984375" style="107" bestFit="1" customWidth="1"/>
    <col min="13820" max="13820" width="10.54296875" style="107" customWidth="1"/>
    <col min="13821" max="13821" width="11.36328125" style="107" customWidth="1"/>
    <col min="13822" max="13822" width="14.36328125" style="107" bestFit="1" customWidth="1"/>
    <col min="13823" max="14058" width="8.90625" style="107"/>
    <col min="14059" max="14059" width="7.6328125" style="107" customWidth="1"/>
    <col min="14060" max="14060" width="12.54296875" style="107" customWidth="1"/>
    <col min="14061" max="14061" width="9.36328125" style="107" customWidth="1"/>
    <col min="14062" max="14062" width="9.90625" style="107" customWidth="1"/>
    <col min="14063" max="14063" width="10.36328125" style="107" bestFit="1" customWidth="1"/>
    <col min="14064" max="14064" width="11.90625" style="107" customWidth="1"/>
    <col min="14065" max="14065" width="10.54296875" style="107" customWidth="1"/>
    <col min="14066" max="14066" width="13.36328125" style="107" customWidth="1"/>
    <col min="14067" max="14068" width="10.54296875" style="107" customWidth="1"/>
    <col min="14069" max="14069" width="10.6328125" style="107" customWidth="1"/>
    <col min="14070" max="14070" width="12.08984375" style="107" customWidth="1"/>
    <col min="14071" max="14074" width="10.54296875" style="107" customWidth="1"/>
    <col min="14075" max="14075" width="12.08984375" style="107" bestFit="1" customWidth="1"/>
    <col min="14076" max="14076" width="10.54296875" style="107" customWidth="1"/>
    <col min="14077" max="14077" width="11.36328125" style="107" customWidth="1"/>
    <col min="14078" max="14078" width="14.36328125" style="107" bestFit="1" customWidth="1"/>
    <col min="14079" max="14314" width="8.90625" style="107"/>
    <col min="14315" max="14315" width="7.6328125" style="107" customWidth="1"/>
    <col min="14316" max="14316" width="12.54296875" style="107" customWidth="1"/>
    <col min="14317" max="14317" width="9.36328125" style="107" customWidth="1"/>
    <col min="14318" max="14318" width="9.90625" style="107" customWidth="1"/>
    <col min="14319" max="14319" width="10.36328125" style="107" bestFit="1" customWidth="1"/>
    <col min="14320" max="14320" width="11.90625" style="107" customWidth="1"/>
    <col min="14321" max="14321" width="10.54296875" style="107" customWidth="1"/>
    <col min="14322" max="14322" width="13.36328125" style="107" customWidth="1"/>
    <col min="14323" max="14324" width="10.54296875" style="107" customWidth="1"/>
    <col min="14325" max="14325" width="10.6328125" style="107" customWidth="1"/>
    <col min="14326" max="14326" width="12.08984375" style="107" customWidth="1"/>
    <col min="14327" max="14330" width="10.54296875" style="107" customWidth="1"/>
    <col min="14331" max="14331" width="12.08984375" style="107" bestFit="1" customWidth="1"/>
    <col min="14332" max="14332" width="10.54296875" style="107" customWidth="1"/>
    <col min="14333" max="14333" width="11.36328125" style="107" customWidth="1"/>
    <col min="14334" max="14334" width="14.36328125" style="107" bestFit="1" customWidth="1"/>
    <col min="14335" max="14570" width="8.90625" style="107"/>
    <col min="14571" max="14571" width="7.6328125" style="107" customWidth="1"/>
    <col min="14572" max="14572" width="12.54296875" style="107" customWidth="1"/>
    <col min="14573" max="14573" width="9.36328125" style="107" customWidth="1"/>
    <col min="14574" max="14574" width="9.90625" style="107" customWidth="1"/>
    <col min="14575" max="14575" width="10.36328125" style="107" bestFit="1" customWidth="1"/>
    <col min="14576" max="14576" width="11.90625" style="107" customWidth="1"/>
    <col min="14577" max="14577" width="10.54296875" style="107" customWidth="1"/>
    <col min="14578" max="14578" width="13.36328125" style="107" customWidth="1"/>
    <col min="14579" max="14580" width="10.54296875" style="107" customWidth="1"/>
    <col min="14581" max="14581" width="10.6328125" style="107" customWidth="1"/>
    <col min="14582" max="14582" width="12.08984375" style="107" customWidth="1"/>
    <col min="14583" max="14586" width="10.54296875" style="107" customWidth="1"/>
    <col min="14587" max="14587" width="12.08984375" style="107" bestFit="1" customWidth="1"/>
    <col min="14588" max="14588" width="10.54296875" style="107" customWidth="1"/>
    <col min="14589" max="14589" width="11.36328125" style="107" customWidth="1"/>
    <col min="14590" max="14590" width="14.36328125" style="107" bestFit="1" customWidth="1"/>
    <col min="14591" max="14826" width="8.90625" style="107"/>
    <col min="14827" max="14827" width="7.6328125" style="107" customWidth="1"/>
    <col min="14828" max="14828" width="12.54296875" style="107" customWidth="1"/>
    <col min="14829" max="14829" width="9.36328125" style="107" customWidth="1"/>
    <col min="14830" max="14830" width="9.90625" style="107" customWidth="1"/>
    <col min="14831" max="14831" width="10.36328125" style="107" bestFit="1" customWidth="1"/>
    <col min="14832" max="14832" width="11.90625" style="107" customWidth="1"/>
    <col min="14833" max="14833" width="10.54296875" style="107" customWidth="1"/>
    <col min="14834" max="14834" width="13.36328125" style="107" customWidth="1"/>
    <col min="14835" max="14836" width="10.54296875" style="107" customWidth="1"/>
    <col min="14837" max="14837" width="10.6328125" style="107" customWidth="1"/>
    <col min="14838" max="14838" width="12.08984375" style="107" customWidth="1"/>
    <col min="14839" max="14842" width="10.54296875" style="107" customWidth="1"/>
    <col min="14843" max="14843" width="12.08984375" style="107" bestFit="1" customWidth="1"/>
    <col min="14844" max="14844" width="10.54296875" style="107" customWidth="1"/>
    <col min="14845" max="14845" width="11.36328125" style="107" customWidth="1"/>
    <col min="14846" max="14846" width="14.36328125" style="107" bestFit="1" customWidth="1"/>
    <col min="14847" max="15082" width="8.90625" style="107"/>
    <col min="15083" max="15083" width="7.6328125" style="107" customWidth="1"/>
    <col min="15084" max="15084" width="12.54296875" style="107" customWidth="1"/>
    <col min="15085" max="15085" width="9.36328125" style="107" customWidth="1"/>
    <col min="15086" max="15086" width="9.90625" style="107" customWidth="1"/>
    <col min="15087" max="15087" width="10.36328125" style="107" bestFit="1" customWidth="1"/>
    <col min="15088" max="15088" width="11.90625" style="107" customWidth="1"/>
    <col min="15089" max="15089" width="10.54296875" style="107" customWidth="1"/>
    <col min="15090" max="15090" width="13.36328125" style="107" customWidth="1"/>
    <col min="15091" max="15092" width="10.54296875" style="107" customWidth="1"/>
    <col min="15093" max="15093" width="10.6328125" style="107" customWidth="1"/>
    <col min="15094" max="15094" width="12.08984375" style="107" customWidth="1"/>
    <col min="15095" max="15098" width="10.54296875" style="107" customWidth="1"/>
    <col min="15099" max="15099" width="12.08984375" style="107" bestFit="1" customWidth="1"/>
    <col min="15100" max="15100" width="10.54296875" style="107" customWidth="1"/>
    <col min="15101" max="15101" width="11.36328125" style="107" customWidth="1"/>
    <col min="15102" max="15102" width="14.36328125" style="107" bestFit="1" customWidth="1"/>
    <col min="15103" max="15338" width="8.90625" style="107"/>
    <col min="15339" max="15339" width="7.6328125" style="107" customWidth="1"/>
    <col min="15340" max="15340" width="12.54296875" style="107" customWidth="1"/>
    <col min="15341" max="15341" width="9.36328125" style="107" customWidth="1"/>
    <col min="15342" max="15342" width="9.90625" style="107" customWidth="1"/>
    <col min="15343" max="15343" width="10.36328125" style="107" bestFit="1" customWidth="1"/>
    <col min="15344" max="15344" width="11.90625" style="107" customWidth="1"/>
    <col min="15345" max="15345" width="10.54296875" style="107" customWidth="1"/>
    <col min="15346" max="15346" width="13.36328125" style="107" customWidth="1"/>
    <col min="15347" max="15348" width="10.54296875" style="107" customWidth="1"/>
    <col min="15349" max="15349" width="10.6328125" style="107" customWidth="1"/>
    <col min="15350" max="15350" width="12.08984375" style="107" customWidth="1"/>
    <col min="15351" max="15354" width="10.54296875" style="107" customWidth="1"/>
    <col min="15355" max="15355" width="12.08984375" style="107" bestFit="1" customWidth="1"/>
    <col min="15356" max="15356" width="10.54296875" style="107" customWidth="1"/>
    <col min="15357" max="15357" width="11.36328125" style="107" customWidth="1"/>
    <col min="15358" max="15358" width="14.36328125" style="107" bestFit="1" customWidth="1"/>
    <col min="15359" max="15594" width="8.90625" style="107"/>
    <col min="15595" max="15595" width="7.6328125" style="107" customWidth="1"/>
    <col min="15596" max="15596" width="12.54296875" style="107" customWidth="1"/>
    <col min="15597" max="15597" width="9.36328125" style="107" customWidth="1"/>
    <col min="15598" max="15598" width="9.90625" style="107" customWidth="1"/>
    <col min="15599" max="15599" width="10.36328125" style="107" bestFit="1" customWidth="1"/>
    <col min="15600" max="15600" width="11.90625" style="107" customWidth="1"/>
    <col min="15601" max="15601" width="10.54296875" style="107" customWidth="1"/>
    <col min="15602" max="15602" width="13.36328125" style="107" customWidth="1"/>
    <col min="15603" max="15604" width="10.54296875" style="107" customWidth="1"/>
    <col min="15605" max="15605" width="10.6328125" style="107" customWidth="1"/>
    <col min="15606" max="15606" width="12.08984375" style="107" customWidth="1"/>
    <col min="15607" max="15610" width="10.54296875" style="107" customWidth="1"/>
    <col min="15611" max="15611" width="12.08984375" style="107" bestFit="1" customWidth="1"/>
    <col min="15612" max="15612" width="10.54296875" style="107" customWidth="1"/>
    <col min="15613" max="15613" width="11.36328125" style="107" customWidth="1"/>
    <col min="15614" max="15614" width="14.36328125" style="107" bestFit="1" customWidth="1"/>
    <col min="15615" max="15850" width="8.90625" style="107"/>
    <col min="15851" max="15851" width="7.6328125" style="107" customWidth="1"/>
    <col min="15852" max="15852" width="12.54296875" style="107" customWidth="1"/>
    <col min="15853" max="15853" width="9.36328125" style="107" customWidth="1"/>
    <col min="15854" max="15854" width="9.90625" style="107" customWidth="1"/>
    <col min="15855" max="15855" width="10.36328125" style="107" bestFit="1" customWidth="1"/>
    <col min="15856" max="15856" width="11.90625" style="107" customWidth="1"/>
    <col min="15857" max="15857" width="10.54296875" style="107" customWidth="1"/>
    <col min="15858" max="15858" width="13.36328125" style="107" customWidth="1"/>
    <col min="15859" max="15860" width="10.54296875" style="107" customWidth="1"/>
    <col min="15861" max="15861" width="10.6328125" style="107" customWidth="1"/>
    <col min="15862" max="15862" width="12.08984375" style="107" customWidth="1"/>
    <col min="15863" max="15866" width="10.54296875" style="107" customWidth="1"/>
    <col min="15867" max="15867" width="12.08984375" style="107" bestFit="1" customWidth="1"/>
    <col min="15868" max="15868" width="10.54296875" style="107" customWidth="1"/>
    <col min="15869" max="15869" width="11.36328125" style="107" customWidth="1"/>
    <col min="15870" max="15870" width="14.36328125" style="107" bestFit="1" customWidth="1"/>
    <col min="15871" max="16106" width="8.90625" style="107"/>
    <col min="16107" max="16107" width="7.6328125" style="107" customWidth="1"/>
    <col min="16108" max="16108" width="12.54296875" style="107" customWidth="1"/>
    <col min="16109" max="16109" width="9.36328125" style="107" customWidth="1"/>
    <col min="16110" max="16110" width="9.90625" style="107" customWidth="1"/>
    <col min="16111" max="16111" width="10.36328125" style="107" bestFit="1" customWidth="1"/>
    <col min="16112" max="16112" width="11.90625" style="107" customWidth="1"/>
    <col min="16113" max="16113" width="10.54296875" style="107" customWidth="1"/>
    <col min="16114" max="16114" width="13.36328125" style="107" customWidth="1"/>
    <col min="16115" max="16116" width="10.54296875" style="107" customWidth="1"/>
    <col min="16117" max="16117" width="10.6328125" style="107" customWidth="1"/>
    <col min="16118" max="16118" width="12.08984375" style="107" customWidth="1"/>
    <col min="16119" max="16122" width="10.54296875" style="107" customWidth="1"/>
    <col min="16123" max="16123" width="12.08984375" style="107" bestFit="1" customWidth="1"/>
    <col min="16124" max="16124" width="10.54296875" style="107" customWidth="1"/>
    <col min="16125" max="16125" width="11.36328125" style="107" customWidth="1"/>
    <col min="16126" max="16126" width="14.36328125" style="107" bestFit="1" customWidth="1"/>
    <col min="16127" max="16364" width="8.90625" style="107"/>
    <col min="16365" max="16384" width="9.08984375" style="107" customWidth="1"/>
  </cols>
  <sheetData>
    <row r="1" spans="1:11" s="106" customFormat="1" ht="50.4" customHeight="1" thickBot="1">
      <c r="A1" s="181" t="s">
        <v>110</v>
      </c>
      <c r="B1" s="181"/>
      <c r="C1" s="181"/>
      <c r="D1" s="181"/>
      <c r="E1" s="181"/>
      <c r="F1" s="181"/>
      <c r="G1" s="181"/>
      <c r="H1" s="181"/>
    </row>
    <row r="2" spans="1:11" ht="33.65" customHeight="1" thickBot="1">
      <c r="A2" s="77" t="s">
        <v>0</v>
      </c>
      <c r="B2" s="47" t="s">
        <v>103</v>
      </c>
      <c r="C2" s="78" t="s">
        <v>104</v>
      </c>
      <c r="D2" s="79" t="s">
        <v>105</v>
      </c>
      <c r="E2" s="79" t="s">
        <v>106</v>
      </c>
      <c r="F2" s="79" t="s">
        <v>107</v>
      </c>
      <c r="G2" s="79" t="s">
        <v>108</v>
      </c>
      <c r="H2" s="79" t="s">
        <v>109</v>
      </c>
      <c r="I2" s="106"/>
      <c r="J2" s="106"/>
      <c r="K2" s="106"/>
    </row>
    <row r="3" spans="1:11" ht="30" customHeight="1">
      <c r="A3" s="108">
        <v>1</v>
      </c>
      <c r="B3" s="109">
        <v>46359</v>
      </c>
      <c r="C3" s="92">
        <v>259801</v>
      </c>
      <c r="D3" s="92">
        <v>5460455</v>
      </c>
      <c r="E3" s="110">
        <v>53.4</v>
      </c>
      <c r="F3" s="111">
        <v>54</v>
      </c>
      <c r="G3" s="127">
        <v>10</v>
      </c>
      <c r="H3" s="128">
        <f>F3*G3</f>
        <v>540</v>
      </c>
      <c r="I3" s="106"/>
      <c r="J3" s="106"/>
      <c r="K3" s="106"/>
    </row>
    <row r="4" spans="1:11" ht="30" customHeight="1">
      <c r="A4" s="113">
        <v>2</v>
      </c>
      <c r="B4" s="48">
        <v>46359</v>
      </c>
      <c r="C4" s="94">
        <v>259802</v>
      </c>
      <c r="D4" s="94">
        <v>5461824</v>
      </c>
      <c r="E4" s="114">
        <v>53.5</v>
      </c>
      <c r="F4" s="115">
        <v>54</v>
      </c>
      <c r="G4" s="125">
        <v>10</v>
      </c>
      <c r="H4" s="126">
        <f>F4*G4</f>
        <v>540</v>
      </c>
      <c r="I4" s="106"/>
      <c r="J4" s="106"/>
      <c r="K4" s="106"/>
    </row>
    <row r="5" spans="1:11" ht="30" customHeight="1">
      <c r="A5" s="113">
        <v>3</v>
      </c>
      <c r="B5" s="48">
        <v>46359</v>
      </c>
      <c r="C5" s="94">
        <v>259803</v>
      </c>
      <c r="D5" s="94">
        <v>5461938</v>
      </c>
      <c r="E5" s="114">
        <v>53.4</v>
      </c>
      <c r="F5" s="115">
        <v>54</v>
      </c>
      <c r="G5" s="125">
        <v>10</v>
      </c>
      <c r="H5" s="126">
        <f t="shared" ref="H5" si="0">F5*G5</f>
        <v>540</v>
      </c>
      <c r="I5" s="106"/>
      <c r="J5" s="106"/>
      <c r="K5" s="106"/>
    </row>
    <row r="6" spans="1:11" ht="30" customHeight="1">
      <c r="A6" s="113">
        <v>4</v>
      </c>
      <c r="B6" s="48">
        <v>46359</v>
      </c>
      <c r="C6" s="94">
        <v>259804</v>
      </c>
      <c r="D6" s="94">
        <v>5461144</v>
      </c>
      <c r="E6" s="114">
        <v>51.6</v>
      </c>
      <c r="F6" s="115">
        <v>52</v>
      </c>
      <c r="G6" s="125">
        <v>10</v>
      </c>
      <c r="H6" s="126">
        <f t="shared" ref="H6:H54" si="1">F6*G6</f>
        <v>520</v>
      </c>
      <c r="I6" s="106"/>
      <c r="J6" s="106"/>
      <c r="K6" s="106"/>
    </row>
    <row r="7" spans="1:11" ht="30" customHeight="1">
      <c r="A7" s="113">
        <v>5</v>
      </c>
      <c r="B7" s="48">
        <v>46359</v>
      </c>
      <c r="C7" s="94">
        <v>259805</v>
      </c>
      <c r="D7" s="94">
        <v>5460868</v>
      </c>
      <c r="E7" s="114">
        <v>53.4</v>
      </c>
      <c r="F7" s="115">
        <v>54</v>
      </c>
      <c r="G7" s="125">
        <v>10</v>
      </c>
      <c r="H7" s="126">
        <f t="shared" si="1"/>
        <v>540</v>
      </c>
      <c r="I7" s="106"/>
      <c r="J7" s="106"/>
      <c r="K7" s="106"/>
    </row>
    <row r="8" spans="1:11" ht="30" customHeight="1">
      <c r="A8" s="113">
        <v>6</v>
      </c>
      <c r="B8" s="48">
        <v>46359</v>
      </c>
      <c r="C8" s="94">
        <v>259806</v>
      </c>
      <c r="D8" s="94">
        <v>5460641</v>
      </c>
      <c r="E8" s="114">
        <v>51.6</v>
      </c>
      <c r="F8" s="115">
        <v>52</v>
      </c>
      <c r="G8" s="125">
        <v>10</v>
      </c>
      <c r="H8" s="126">
        <f t="shared" si="1"/>
        <v>520</v>
      </c>
      <c r="I8" s="106"/>
      <c r="J8" s="106"/>
      <c r="K8" s="106"/>
    </row>
    <row r="9" spans="1:11" ht="30" customHeight="1">
      <c r="A9" s="113">
        <v>7</v>
      </c>
      <c r="B9" s="48">
        <v>46359</v>
      </c>
      <c r="C9" s="94">
        <v>427001</v>
      </c>
      <c r="D9" s="94">
        <v>5461105</v>
      </c>
      <c r="E9" s="114">
        <v>50.9</v>
      </c>
      <c r="F9" s="115">
        <v>51</v>
      </c>
      <c r="G9" s="125">
        <v>10</v>
      </c>
      <c r="H9" s="126">
        <f t="shared" si="1"/>
        <v>510</v>
      </c>
      <c r="I9" s="106"/>
      <c r="J9" s="106"/>
      <c r="K9" s="106"/>
    </row>
    <row r="10" spans="1:11" ht="30" customHeight="1">
      <c r="A10" s="113">
        <v>8</v>
      </c>
      <c r="B10" s="48">
        <v>46359</v>
      </c>
      <c r="C10" s="94">
        <v>427002</v>
      </c>
      <c r="D10" s="94">
        <v>5460462</v>
      </c>
      <c r="E10" s="114">
        <v>53.4</v>
      </c>
      <c r="F10" s="115">
        <v>54</v>
      </c>
      <c r="G10" s="125">
        <v>10</v>
      </c>
      <c r="H10" s="126">
        <f t="shared" si="1"/>
        <v>540</v>
      </c>
      <c r="I10" s="106"/>
      <c r="J10" s="106"/>
      <c r="K10" s="106"/>
    </row>
    <row r="11" spans="1:11" ht="30" customHeight="1">
      <c r="A11" s="113">
        <v>9</v>
      </c>
      <c r="B11" s="48">
        <v>46359</v>
      </c>
      <c r="C11" s="94">
        <v>427003</v>
      </c>
      <c r="D11" s="94">
        <v>5460277</v>
      </c>
      <c r="E11" s="114">
        <v>52.8</v>
      </c>
      <c r="F11" s="115">
        <v>53</v>
      </c>
      <c r="G11" s="125">
        <v>10</v>
      </c>
      <c r="H11" s="126">
        <f t="shared" si="1"/>
        <v>530</v>
      </c>
      <c r="I11" s="106"/>
      <c r="J11" s="106"/>
      <c r="K11" s="106"/>
    </row>
    <row r="12" spans="1:11" ht="30" customHeight="1">
      <c r="A12" s="113">
        <v>10</v>
      </c>
      <c r="B12" s="48">
        <v>46359</v>
      </c>
      <c r="C12" s="94">
        <v>427005</v>
      </c>
      <c r="D12" s="94">
        <v>5460601</v>
      </c>
      <c r="E12" s="114">
        <v>52.9</v>
      </c>
      <c r="F12" s="115">
        <v>53</v>
      </c>
      <c r="G12" s="125">
        <v>10</v>
      </c>
      <c r="H12" s="126">
        <f t="shared" si="1"/>
        <v>530</v>
      </c>
      <c r="I12" s="106"/>
      <c r="J12" s="106"/>
      <c r="K12" s="106"/>
    </row>
    <row r="13" spans="1:11" ht="30" customHeight="1">
      <c r="A13" s="113">
        <v>11</v>
      </c>
      <c r="B13" s="48">
        <v>46359</v>
      </c>
      <c r="C13" s="94">
        <v>427006</v>
      </c>
      <c r="D13" s="94">
        <v>5461817</v>
      </c>
      <c r="E13" s="114">
        <v>52.2</v>
      </c>
      <c r="F13" s="115">
        <v>53</v>
      </c>
      <c r="G13" s="125">
        <v>10</v>
      </c>
      <c r="H13" s="126">
        <f t="shared" si="1"/>
        <v>530</v>
      </c>
      <c r="I13" s="106"/>
      <c r="J13" s="106"/>
      <c r="K13" s="106"/>
    </row>
    <row r="14" spans="1:11" ht="30" customHeight="1">
      <c r="A14" s="113">
        <v>12</v>
      </c>
      <c r="B14" s="48">
        <v>46359</v>
      </c>
      <c r="C14" s="94">
        <v>427008</v>
      </c>
      <c r="D14" s="94">
        <v>5461297</v>
      </c>
      <c r="E14" s="114">
        <v>53.7</v>
      </c>
      <c r="F14" s="115">
        <v>54</v>
      </c>
      <c r="G14" s="125">
        <v>10</v>
      </c>
      <c r="H14" s="126">
        <f t="shared" si="1"/>
        <v>540</v>
      </c>
      <c r="I14" s="106"/>
      <c r="J14" s="106"/>
      <c r="K14" s="106"/>
    </row>
    <row r="15" spans="1:11" ht="30" customHeight="1">
      <c r="A15" s="113">
        <v>13</v>
      </c>
      <c r="B15" s="48">
        <v>46359</v>
      </c>
      <c r="C15" s="94">
        <v>259464</v>
      </c>
      <c r="D15" s="94">
        <v>559979</v>
      </c>
      <c r="E15" s="114">
        <v>49.1</v>
      </c>
      <c r="F15" s="115">
        <v>50</v>
      </c>
      <c r="G15" s="125">
        <v>10</v>
      </c>
      <c r="H15" s="126">
        <f t="shared" si="1"/>
        <v>500</v>
      </c>
      <c r="I15" s="106"/>
      <c r="J15" s="106"/>
      <c r="K15" s="106"/>
    </row>
    <row r="16" spans="1:11" ht="30" customHeight="1">
      <c r="A16" s="113">
        <v>14</v>
      </c>
      <c r="B16" s="48">
        <v>46359</v>
      </c>
      <c r="C16" s="94">
        <v>259463</v>
      </c>
      <c r="D16" s="94">
        <v>559566</v>
      </c>
      <c r="E16" s="114">
        <v>49.6</v>
      </c>
      <c r="F16" s="115">
        <v>50</v>
      </c>
      <c r="G16" s="125">
        <v>10</v>
      </c>
      <c r="H16" s="126">
        <f t="shared" si="1"/>
        <v>500</v>
      </c>
      <c r="I16" s="106"/>
      <c r="J16" s="106"/>
      <c r="K16" s="106"/>
    </row>
    <row r="17" spans="1:11" ht="30" customHeight="1">
      <c r="A17" s="113">
        <v>15</v>
      </c>
      <c r="B17" s="48">
        <v>46359</v>
      </c>
      <c r="C17" s="94">
        <v>259462</v>
      </c>
      <c r="D17" s="94">
        <v>5579872</v>
      </c>
      <c r="E17" s="114">
        <v>49.6</v>
      </c>
      <c r="F17" s="115">
        <v>50</v>
      </c>
      <c r="G17" s="125">
        <v>10</v>
      </c>
      <c r="H17" s="126">
        <f t="shared" si="1"/>
        <v>500</v>
      </c>
      <c r="I17" s="106"/>
      <c r="J17" s="106"/>
      <c r="K17" s="106"/>
    </row>
    <row r="18" spans="1:11" ht="30" customHeight="1">
      <c r="A18" s="113">
        <v>16</v>
      </c>
      <c r="B18" s="48">
        <v>46359</v>
      </c>
      <c r="C18" s="94">
        <v>259461</v>
      </c>
      <c r="D18" s="94">
        <v>5579986</v>
      </c>
      <c r="E18" s="114">
        <v>48.2</v>
      </c>
      <c r="F18" s="115">
        <v>49</v>
      </c>
      <c r="G18" s="125">
        <v>10</v>
      </c>
      <c r="H18" s="126">
        <f t="shared" si="1"/>
        <v>490</v>
      </c>
      <c r="I18" s="106"/>
      <c r="J18" s="106"/>
      <c r="K18" s="106"/>
    </row>
    <row r="19" spans="1:11" ht="30" customHeight="1">
      <c r="A19" s="113">
        <v>17</v>
      </c>
      <c r="B19" s="48">
        <v>46359</v>
      </c>
      <c r="C19" s="94">
        <v>259460</v>
      </c>
      <c r="D19" s="94">
        <v>5570364</v>
      </c>
      <c r="E19" s="114">
        <v>48.8</v>
      </c>
      <c r="F19" s="115">
        <v>49</v>
      </c>
      <c r="G19" s="125">
        <v>10</v>
      </c>
      <c r="H19" s="126">
        <f t="shared" si="1"/>
        <v>490</v>
      </c>
      <c r="I19" s="106"/>
      <c r="J19" s="106"/>
      <c r="K19" s="106"/>
    </row>
    <row r="20" spans="1:11" ht="30" customHeight="1">
      <c r="A20" s="113">
        <v>18</v>
      </c>
      <c r="B20" s="48">
        <v>46359</v>
      </c>
      <c r="C20" s="94">
        <v>259459</v>
      </c>
      <c r="D20" s="94">
        <v>5572319</v>
      </c>
      <c r="E20" s="114">
        <v>46.2</v>
      </c>
      <c r="F20" s="115">
        <v>47</v>
      </c>
      <c r="G20" s="125">
        <v>10</v>
      </c>
      <c r="H20" s="126">
        <f t="shared" si="1"/>
        <v>470</v>
      </c>
      <c r="I20" s="106"/>
      <c r="J20" s="106"/>
      <c r="K20" s="106"/>
    </row>
    <row r="21" spans="1:11" ht="30" customHeight="1">
      <c r="A21" s="113">
        <v>19</v>
      </c>
      <c r="B21" s="48">
        <v>46359</v>
      </c>
      <c r="C21" s="94">
        <v>259458</v>
      </c>
      <c r="D21" s="94">
        <v>5579922</v>
      </c>
      <c r="E21" s="114">
        <v>48.9</v>
      </c>
      <c r="F21" s="115">
        <v>49</v>
      </c>
      <c r="G21" s="125">
        <v>10</v>
      </c>
      <c r="H21" s="126">
        <f t="shared" si="1"/>
        <v>490</v>
      </c>
      <c r="I21" s="106"/>
      <c r="J21" s="106"/>
      <c r="K21" s="106"/>
    </row>
    <row r="22" spans="1:11" ht="30" customHeight="1">
      <c r="A22" s="113">
        <v>20</v>
      </c>
      <c r="B22" s="48">
        <v>46359</v>
      </c>
      <c r="C22" s="94">
        <v>259457</v>
      </c>
      <c r="D22" s="94">
        <v>5572148</v>
      </c>
      <c r="E22" s="114">
        <v>49.6</v>
      </c>
      <c r="F22" s="115">
        <v>50</v>
      </c>
      <c r="G22" s="125">
        <v>10</v>
      </c>
      <c r="H22" s="126">
        <f t="shared" si="1"/>
        <v>500</v>
      </c>
      <c r="I22" s="106"/>
      <c r="J22" s="106"/>
      <c r="K22" s="106"/>
    </row>
    <row r="23" spans="1:11" ht="30" customHeight="1">
      <c r="A23" s="113">
        <v>21</v>
      </c>
      <c r="B23" s="48">
        <v>46359</v>
      </c>
      <c r="C23" s="94">
        <v>259456</v>
      </c>
      <c r="D23" s="94">
        <v>5570923</v>
      </c>
      <c r="E23" s="114">
        <v>51.4</v>
      </c>
      <c r="F23" s="115">
        <v>52</v>
      </c>
      <c r="G23" s="125">
        <v>10</v>
      </c>
      <c r="H23" s="126">
        <f t="shared" si="1"/>
        <v>520</v>
      </c>
      <c r="I23" s="106"/>
      <c r="J23" s="106"/>
      <c r="K23" s="106"/>
    </row>
    <row r="24" spans="1:11" ht="30" customHeight="1">
      <c r="A24" s="113">
        <v>22</v>
      </c>
      <c r="B24" s="48">
        <v>46359</v>
      </c>
      <c r="C24" s="94">
        <v>259455</v>
      </c>
      <c r="D24" s="94">
        <v>5570649</v>
      </c>
      <c r="E24" s="114">
        <v>50.2</v>
      </c>
      <c r="F24" s="115">
        <v>51</v>
      </c>
      <c r="G24" s="125">
        <v>10</v>
      </c>
      <c r="H24" s="126">
        <f t="shared" si="1"/>
        <v>510</v>
      </c>
      <c r="I24" s="106"/>
      <c r="J24" s="106"/>
      <c r="K24" s="106"/>
    </row>
    <row r="25" spans="1:11" ht="30" customHeight="1">
      <c r="A25" s="113">
        <v>23</v>
      </c>
      <c r="B25" s="48">
        <v>46359</v>
      </c>
      <c r="C25" s="94">
        <v>259454</v>
      </c>
      <c r="D25" s="94">
        <v>5570962</v>
      </c>
      <c r="E25" s="114">
        <v>49.8</v>
      </c>
      <c r="F25" s="115">
        <v>50</v>
      </c>
      <c r="G25" s="125">
        <v>10</v>
      </c>
      <c r="H25" s="126">
        <f t="shared" si="1"/>
        <v>500</v>
      </c>
      <c r="I25" s="106"/>
      <c r="J25" s="106"/>
      <c r="K25" s="106"/>
    </row>
    <row r="26" spans="1:11" ht="30" customHeight="1">
      <c r="A26" s="113">
        <v>24</v>
      </c>
      <c r="B26" s="48">
        <v>46359</v>
      </c>
      <c r="C26" s="94">
        <v>259453</v>
      </c>
      <c r="D26" s="94">
        <v>5579502</v>
      </c>
      <c r="E26" s="114">
        <v>49.3</v>
      </c>
      <c r="F26" s="115">
        <v>50</v>
      </c>
      <c r="G26" s="125">
        <v>10</v>
      </c>
      <c r="H26" s="126">
        <f t="shared" si="1"/>
        <v>500</v>
      </c>
      <c r="I26" s="106"/>
      <c r="J26" s="106"/>
      <c r="K26" s="106"/>
    </row>
    <row r="27" spans="1:11" ht="30" customHeight="1">
      <c r="A27" s="113">
        <v>25</v>
      </c>
      <c r="B27" s="48">
        <v>46359</v>
      </c>
      <c r="C27" s="94">
        <v>259452</v>
      </c>
      <c r="D27" s="94">
        <v>5571498</v>
      </c>
      <c r="E27" s="114">
        <v>48.7</v>
      </c>
      <c r="F27" s="115">
        <v>49</v>
      </c>
      <c r="G27" s="125">
        <v>10</v>
      </c>
      <c r="H27" s="126">
        <f t="shared" si="1"/>
        <v>490</v>
      </c>
      <c r="I27" s="106"/>
      <c r="J27" s="106"/>
      <c r="K27" s="106"/>
    </row>
    <row r="28" spans="1:11" ht="30" customHeight="1">
      <c r="A28" s="113">
        <v>26</v>
      </c>
      <c r="B28" s="48">
        <v>46359</v>
      </c>
      <c r="C28" s="94">
        <v>259451</v>
      </c>
      <c r="D28" s="94">
        <v>5570535</v>
      </c>
      <c r="E28" s="114">
        <v>46</v>
      </c>
      <c r="F28" s="115">
        <v>46</v>
      </c>
      <c r="G28" s="125">
        <v>10</v>
      </c>
      <c r="H28" s="126">
        <f t="shared" si="1"/>
        <v>460</v>
      </c>
      <c r="I28" s="106"/>
      <c r="J28" s="106"/>
      <c r="K28" s="106"/>
    </row>
    <row r="29" spans="1:11" ht="30" customHeight="1">
      <c r="A29" s="113">
        <v>27</v>
      </c>
      <c r="B29" s="48">
        <v>46359</v>
      </c>
      <c r="C29" s="94">
        <v>259772</v>
      </c>
      <c r="D29" s="94">
        <v>5446669</v>
      </c>
      <c r="E29" s="114">
        <v>52.3</v>
      </c>
      <c r="F29" s="115">
        <v>53</v>
      </c>
      <c r="G29" s="125">
        <v>10</v>
      </c>
      <c r="H29" s="126">
        <f t="shared" si="1"/>
        <v>530</v>
      </c>
      <c r="I29" s="106"/>
      <c r="J29" s="106"/>
      <c r="K29" s="106"/>
    </row>
    <row r="30" spans="1:11" ht="30" customHeight="1">
      <c r="A30" s="113">
        <v>28</v>
      </c>
      <c r="B30" s="48">
        <v>46359</v>
      </c>
      <c r="C30" s="94">
        <v>259769</v>
      </c>
      <c r="D30" s="94">
        <v>5446822</v>
      </c>
      <c r="E30" s="114">
        <v>51</v>
      </c>
      <c r="F30" s="115">
        <v>51</v>
      </c>
      <c r="G30" s="125">
        <v>10</v>
      </c>
      <c r="H30" s="126">
        <f t="shared" si="1"/>
        <v>510</v>
      </c>
      <c r="I30" s="106"/>
      <c r="J30" s="106"/>
      <c r="K30" s="106"/>
    </row>
    <row r="31" spans="1:11" ht="30" customHeight="1">
      <c r="A31" s="113">
        <v>29</v>
      </c>
      <c r="B31" s="48">
        <v>46359</v>
      </c>
      <c r="C31" s="94">
        <v>259770</v>
      </c>
      <c r="D31" s="94">
        <v>5446676</v>
      </c>
      <c r="E31" s="114">
        <v>50.1</v>
      </c>
      <c r="F31" s="115">
        <v>51</v>
      </c>
      <c r="G31" s="125">
        <v>10</v>
      </c>
      <c r="H31" s="126">
        <f t="shared" si="1"/>
        <v>510</v>
      </c>
      <c r="I31" s="106"/>
      <c r="J31" s="106"/>
      <c r="K31" s="106"/>
    </row>
    <row r="32" spans="1:11" ht="30" customHeight="1">
      <c r="A32" s="113">
        <v>30</v>
      </c>
      <c r="B32" s="48">
        <v>46359</v>
      </c>
      <c r="C32" s="94">
        <v>259771</v>
      </c>
      <c r="D32" s="94">
        <v>5446135</v>
      </c>
      <c r="E32" s="114">
        <v>52.3</v>
      </c>
      <c r="F32" s="115">
        <v>53</v>
      </c>
      <c r="G32" s="125">
        <v>10</v>
      </c>
      <c r="H32" s="126">
        <f t="shared" si="1"/>
        <v>530</v>
      </c>
      <c r="I32" s="106"/>
      <c r="J32" s="106"/>
      <c r="K32" s="106"/>
    </row>
    <row r="33" spans="1:11" ht="30" customHeight="1">
      <c r="A33" s="113">
        <v>31</v>
      </c>
      <c r="B33" s="48">
        <v>46359</v>
      </c>
      <c r="C33" s="94">
        <v>259768</v>
      </c>
      <c r="D33" s="94">
        <v>5445962</v>
      </c>
      <c r="E33" s="114">
        <v>52</v>
      </c>
      <c r="F33" s="115">
        <v>52</v>
      </c>
      <c r="G33" s="125">
        <v>10</v>
      </c>
      <c r="H33" s="126">
        <f t="shared" si="1"/>
        <v>520</v>
      </c>
      <c r="I33" s="106"/>
      <c r="J33" s="106"/>
      <c r="K33" s="106"/>
    </row>
    <row r="34" spans="1:11" ht="30" customHeight="1">
      <c r="A34" s="113">
        <v>32</v>
      </c>
      <c r="B34" s="48">
        <v>46359</v>
      </c>
      <c r="C34" s="94">
        <v>259767</v>
      </c>
      <c r="D34" s="94">
        <v>5578806</v>
      </c>
      <c r="E34" s="114">
        <v>49</v>
      </c>
      <c r="F34" s="115">
        <v>49</v>
      </c>
      <c r="G34" s="125">
        <v>10</v>
      </c>
      <c r="H34" s="126">
        <f t="shared" si="1"/>
        <v>490</v>
      </c>
      <c r="I34" s="106"/>
      <c r="J34" s="106"/>
      <c r="K34" s="106"/>
    </row>
    <row r="35" spans="1:11" ht="30" customHeight="1">
      <c r="A35" s="113">
        <v>33</v>
      </c>
      <c r="B35" s="48">
        <v>46359</v>
      </c>
      <c r="C35" s="94">
        <v>259766</v>
      </c>
      <c r="D35" s="94">
        <v>5446772</v>
      </c>
      <c r="E35" s="114">
        <v>52</v>
      </c>
      <c r="F35" s="115">
        <v>52</v>
      </c>
      <c r="G35" s="125">
        <v>10</v>
      </c>
      <c r="H35" s="126">
        <f t="shared" si="1"/>
        <v>520</v>
      </c>
      <c r="I35" s="106"/>
      <c r="J35" s="106"/>
      <c r="K35" s="106"/>
    </row>
    <row r="36" spans="1:11" ht="30" customHeight="1">
      <c r="A36" s="113">
        <v>34</v>
      </c>
      <c r="B36" s="48">
        <v>46359</v>
      </c>
      <c r="C36" s="94">
        <v>259763</v>
      </c>
      <c r="D36" s="94">
        <v>5446719</v>
      </c>
      <c r="E36" s="114">
        <v>50.7</v>
      </c>
      <c r="F36" s="115">
        <v>51</v>
      </c>
      <c r="G36" s="125">
        <v>10</v>
      </c>
      <c r="H36" s="126">
        <f t="shared" si="1"/>
        <v>510</v>
      </c>
      <c r="I36" s="106"/>
      <c r="J36" s="106"/>
      <c r="K36" s="106"/>
    </row>
    <row r="37" spans="1:11" ht="30" customHeight="1">
      <c r="A37" s="113">
        <v>35</v>
      </c>
      <c r="B37" s="48">
        <v>46359</v>
      </c>
      <c r="C37" s="94">
        <v>259764</v>
      </c>
      <c r="D37" s="94">
        <v>5445624</v>
      </c>
      <c r="E37" s="114">
        <v>49.4</v>
      </c>
      <c r="F37" s="115">
        <v>50</v>
      </c>
      <c r="G37" s="125">
        <v>10</v>
      </c>
      <c r="H37" s="126">
        <f t="shared" si="1"/>
        <v>500</v>
      </c>
      <c r="I37" s="106"/>
      <c r="J37" s="106"/>
      <c r="K37" s="106"/>
    </row>
    <row r="38" spans="1:11" ht="30" customHeight="1">
      <c r="A38" s="113">
        <v>36</v>
      </c>
      <c r="B38" s="48">
        <v>46359</v>
      </c>
      <c r="C38" s="94">
        <v>259765</v>
      </c>
      <c r="D38" s="94">
        <v>5444637</v>
      </c>
      <c r="E38" s="114">
        <v>53.8</v>
      </c>
      <c r="F38" s="115">
        <v>54</v>
      </c>
      <c r="G38" s="125">
        <v>10</v>
      </c>
      <c r="H38" s="126">
        <f t="shared" si="1"/>
        <v>540</v>
      </c>
      <c r="I38" s="106"/>
      <c r="J38" s="106"/>
      <c r="K38" s="106"/>
    </row>
    <row r="39" spans="1:11" ht="30" customHeight="1">
      <c r="A39" s="113">
        <v>37</v>
      </c>
      <c r="B39" s="48">
        <v>46359</v>
      </c>
      <c r="C39" s="94">
        <v>259762</v>
      </c>
      <c r="D39" s="94">
        <v>5446936</v>
      </c>
      <c r="E39" s="114">
        <v>52.6</v>
      </c>
      <c r="F39" s="115">
        <v>53</v>
      </c>
      <c r="G39" s="125">
        <v>10</v>
      </c>
      <c r="H39" s="126">
        <f t="shared" si="1"/>
        <v>530</v>
      </c>
      <c r="I39" s="106"/>
      <c r="J39" s="106"/>
      <c r="K39" s="106"/>
    </row>
    <row r="40" spans="1:11" ht="30" customHeight="1">
      <c r="A40" s="113">
        <v>38</v>
      </c>
      <c r="B40" s="48">
        <v>46359</v>
      </c>
      <c r="C40" s="94">
        <v>259749</v>
      </c>
      <c r="D40" s="94">
        <v>5445147</v>
      </c>
      <c r="E40" s="114">
        <v>55.3</v>
      </c>
      <c r="F40" s="115">
        <v>56</v>
      </c>
      <c r="G40" s="125">
        <v>10</v>
      </c>
      <c r="H40" s="126">
        <f t="shared" si="1"/>
        <v>560</v>
      </c>
      <c r="I40" s="106"/>
      <c r="J40" s="106"/>
      <c r="K40" s="106"/>
    </row>
    <row r="41" spans="1:11" ht="30" customHeight="1">
      <c r="A41" s="113">
        <v>39</v>
      </c>
      <c r="B41" s="48">
        <v>46359</v>
      </c>
      <c r="C41" s="94">
        <v>259748</v>
      </c>
      <c r="D41" s="94">
        <v>5446111</v>
      </c>
      <c r="E41" s="114">
        <v>54.2</v>
      </c>
      <c r="F41" s="115">
        <v>55</v>
      </c>
      <c r="G41" s="125">
        <v>10</v>
      </c>
      <c r="H41" s="126">
        <f t="shared" si="1"/>
        <v>550</v>
      </c>
      <c r="I41" s="106"/>
      <c r="J41" s="106"/>
      <c r="K41" s="106"/>
    </row>
    <row r="42" spans="1:11" ht="30" customHeight="1">
      <c r="A42" s="113">
        <v>40</v>
      </c>
      <c r="B42" s="48">
        <v>46359</v>
      </c>
      <c r="C42" s="94">
        <v>259745</v>
      </c>
      <c r="D42" s="94">
        <v>5446531</v>
      </c>
      <c r="E42" s="114">
        <v>54.1</v>
      </c>
      <c r="F42" s="115">
        <v>55</v>
      </c>
      <c r="G42" s="125">
        <v>10</v>
      </c>
      <c r="H42" s="126">
        <f t="shared" si="1"/>
        <v>550</v>
      </c>
      <c r="I42" s="106"/>
      <c r="J42" s="106"/>
      <c r="K42" s="106"/>
    </row>
    <row r="43" spans="1:11" ht="30" customHeight="1">
      <c r="A43" s="113">
        <v>41</v>
      </c>
      <c r="B43" s="48">
        <v>46359</v>
      </c>
      <c r="C43" s="94">
        <v>259746</v>
      </c>
      <c r="D43" s="94">
        <v>5445396</v>
      </c>
      <c r="E43" s="114">
        <v>54</v>
      </c>
      <c r="F43" s="115">
        <v>54</v>
      </c>
      <c r="G43" s="125">
        <v>10</v>
      </c>
      <c r="H43" s="126">
        <f t="shared" si="1"/>
        <v>540</v>
      </c>
      <c r="I43" s="106"/>
      <c r="J43" s="106"/>
      <c r="K43" s="106"/>
    </row>
    <row r="44" spans="1:11" ht="30" customHeight="1">
      <c r="A44" s="113">
        <v>42</v>
      </c>
      <c r="B44" s="48">
        <v>46359</v>
      </c>
      <c r="C44" s="94">
        <v>259747</v>
      </c>
      <c r="D44" s="94">
        <v>5445760</v>
      </c>
      <c r="E44" s="114">
        <v>55</v>
      </c>
      <c r="F44" s="115">
        <v>55</v>
      </c>
      <c r="G44" s="125">
        <v>10</v>
      </c>
      <c r="H44" s="126">
        <f t="shared" si="1"/>
        <v>550</v>
      </c>
      <c r="I44" s="106"/>
      <c r="J44" s="106"/>
      <c r="K44" s="106"/>
    </row>
    <row r="45" spans="1:11" ht="30" customHeight="1">
      <c r="A45" s="113">
        <v>43</v>
      </c>
      <c r="B45" s="48">
        <v>46359</v>
      </c>
      <c r="C45" s="94">
        <v>259744</v>
      </c>
      <c r="D45" s="94">
        <v>5446691</v>
      </c>
      <c r="E45" s="114">
        <v>53</v>
      </c>
      <c r="F45" s="115">
        <v>53</v>
      </c>
      <c r="G45" s="125">
        <v>10</v>
      </c>
      <c r="H45" s="126">
        <f t="shared" si="1"/>
        <v>530</v>
      </c>
      <c r="I45" s="106"/>
      <c r="J45" s="106"/>
      <c r="K45" s="106"/>
    </row>
    <row r="46" spans="1:11" ht="30" customHeight="1">
      <c r="A46" s="113">
        <v>44</v>
      </c>
      <c r="B46" s="48">
        <v>46359</v>
      </c>
      <c r="C46" s="94">
        <v>259743</v>
      </c>
      <c r="D46" s="94">
        <v>5446701</v>
      </c>
      <c r="E46" s="114">
        <v>51.5</v>
      </c>
      <c r="F46" s="115">
        <v>52</v>
      </c>
      <c r="G46" s="125">
        <v>10</v>
      </c>
      <c r="H46" s="126">
        <f t="shared" si="1"/>
        <v>520</v>
      </c>
      <c r="I46" s="106"/>
      <c r="J46" s="106"/>
      <c r="K46" s="106"/>
    </row>
    <row r="47" spans="1:11" ht="30" customHeight="1">
      <c r="A47" s="113">
        <v>45</v>
      </c>
      <c r="B47" s="48">
        <v>46359</v>
      </c>
      <c r="C47" s="94">
        <v>259742</v>
      </c>
      <c r="D47" s="94">
        <v>5445550</v>
      </c>
      <c r="E47" s="114">
        <v>52</v>
      </c>
      <c r="F47" s="115">
        <v>52</v>
      </c>
      <c r="G47" s="125">
        <v>10</v>
      </c>
      <c r="H47" s="126">
        <f t="shared" si="1"/>
        <v>520</v>
      </c>
      <c r="I47" s="106"/>
      <c r="J47" s="106"/>
      <c r="K47" s="106"/>
    </row>
    <row r="48" spans="1:11" ht="30" customHeight="1">
      <c r="A48" s="113">
        <v>46</v>
      </c>
      <c r="B48" s="48">
        <v>46359</v>
      </c>
      <c r="C48" s="94">
        <v>259739</v>
      </c>
      <c r="D48" s="94">
        <v>5445439</v>
      </c>
      <c r="E48" s="114">
        <v>53.6</v>
      </c>
      <c r="F48" s="115">
        <v>54</v>
      </c>
      <c r="G48" s="125">
        <v>10</v>
      </c>
      <c r="H48" s="126">
        <f t="shared" si="1"/>
        <v>540</v>
      </c>
      <c r="I48" s="106"/>
      <c r="J48" s="106"/>
      <c r="K48" s="106"/>
    </row>
    <row r="49" spans="1:11" ht="30" customHeight="1">
      <c r="A49" s="113">
        <v>47</v>
      </c>
      <c r="B49" s="48">
        <v>46359</v>
      </c>
      <c r="C49" s="94">
        <v>259740</v>
      </c>
      <c r="D49" s="94">
        <v>5479410</v>
      </c>
      <c r="E49" s="114">
        <v>52</v>
      </c>
      <c r="F49" s="115">
        <v>52</v>
      </c>
      <c r="G49" s="125">
        <v>10</v>
      </c>
      <c r="H49" s="126">
        <f t="shared" si="1"/>
        <v>520</v>
      </c>
      <c r="I49" s="106"/>
      <c r="J49" s="106"/>
      <c r="K49" s="106"/>
    </row>
    <row r="50" spans="1:11" ht="30" customHeight="1">
      <c r="A50" s="113">
        <v>48</v>
      </c>
      <c r="B50" s="48">
        <v>46359</v>
      </c>
      <c r="C50" s="94">
        <v>259741</v>
      </c>
      <c r="D50" s="94">
        <v>5446555</v>
      </c>
      <c r="E50" s="114">
        <v>52.5</v>
      </c>
      <c r="F50" s="115">
        <v>53</v>
      </c>
      <c r="G50" s="125">
        <v>10</v>
      </c>
      <c r="H50" s="126">
        <f t="shared" si="1"/>
        <v>530</v>
      </c>
      <c r="I50" s="106"/>
      <c r="J50" s="106"/>
      <c r="K50" s="106"/>
    </row>
    <row r="51" spans="1:11" ht="30" customHeight="1">
      <c r="A51" s="113">
        <v>49</v>
      </c>
      <c r="B51" s="48">
        <v>46359</v>
      </c>
      <c r="C51" s="94">
        <v>259736</v>
      </c>
      <c r="D51" s="94">
        <v>5446854</v>
      </c>
      <c r="E51" s="114">
        <v>50.3</v>
      </c>
      <c r="F51" s="115">
        <v>51</v>
      </c>
      <c r="G51" s="125">
        <v>10</v>
      </c>
      <c r="H51" s="126">
        <f t="shared" si="1"/>
        <v>510</v>
      </c>
      <c r="I51" s="106"/>
      <c r="J51" s="106"/>
      <c r="K51" s="106"/>
    </row>
    <row r="52" spans="1:11" ht="30" customHeight="1">
      <c r="A52" s="113">
        <v>50</v>
      </c>
      <c r="B52" s="48">
        <v>46359</v>
      </c>
      <c r="C52" s="94">
        <v>259737</v>
      </c>
      <c r="D52" s="94">
        <v>5446046</v>
      </c>
      <c r="E52" s="114">
        <v>53.3</v>
      </c>
      <c r="F52" s="115">
        <v>51</v>
      </c>
      <c r="G52" s="125">
        <v>10</v>
      </c>
      <c r="H52" s="126">
        <f t="shared" si="1"/>
        <v>510</v>
      </c>
      <c r="I52" s="106"/>
      <c r="J52" s="106"/>
      <c r="K52" s="106"/>
    </row>
    <row r="53" spans="1:11" ht="30" customHeight="1">
      <c r="A53" s="113">
        <v>51</v>
      </c>
      <c r="B53" s="48">
        <v>46359</v>
      </c>
      <c r="C53" s="94">
        <v>259738</v>
      </c>
      <c r="D53" s="94">
        <v>5446014</v>
      </c>
      <c r="E53" s="114">
        <v>52.7</v>
      </c>
      <c r="F53" s="115">
        <v>53</v>
      </c>
      <c r="G53" s="125">
        <v>10</v>
      </c>
      <c r="H53" s="126">
        <f t="shared" si="1"/>
        <v>530</v>
      </c>
      <c r="I53" s="106"/>
      <c r="J53" s="106"/>
      <c r="K53" s="106"/>
    </row>
    <row r="54" spans="1:11" ht="30" customHeight="1">
      <c r="A54" s="113">
        <v>52</v>
      </c>
      <c r="B54" s="48">
        <v>46359</v>
      </c>
      <c r="C54" s="94">
        <v>259735</v>
      </c>
      <c r="D54" s="94">
        <v>5478396</v>
      </c>
      <c r="E54" s="114">
        <v>50.5</v>
      </c>
      <c r="F54" s="115">
        <v>51</v>
      </c>
      <c r="G54" s="125">
        <v>10</v>
      </c>
      <c r="H54" s="126">
        <f t="shared" si="1"/>
        <v>510</v>
      </c>
      <c r="I54" s="106"/>
      <c r="J54" s="106"/>
      <c r="K54" s="106"/>
    </row>
    <row r="55" spans="1:11" ht="30" customHeight="1" thickBot="1">
      <c r="A55" s="117"/>
      <c r="B55" s="50"/>
      <c r="C55" s="50"/>
      <c r="D55" s="50"/>
      <c r="E55" s="50"/>
      <c r="F55" s="50"/>
      <c r="G55" s="124"/>
      <c r="H55" s="118"/>
      <c r="I55" s="106"/>
      <c r="J55" s="106"/>
      <c r="K55" s="106"/>
    </row>
    <row r="56" spans="1:11" ht="9.65" customHeight="1">
      <c r="A56" s="119"/>
      <c r="B56" s="119"/>
      <c r="C56" s="119"/>
      <c r="D56" s="119"/>
      <c r="E56" s="119"/>
      <c r="F56" s="119"/>
      <c r="G56" s="119"/>
      <c r="H56" s="119"/>
      <c r="I56" s="106"/>
      <c r="J56" s="106"/>
      <c r="K56" s="106"/>
    </row>
    <row r="57" spans="1:11">
      <c r="A57" s="119"/>
      <c r="B57" s="119"/>
      <c r="C57" s="119"/>
      <c r="D57" s="119"/>
      <c r="E57" s="120">
        <f>SUM(E3:E56)</f>
        <v>2677.4</v>
      </c>
      <c r="F57" s="120"/>
      <c r="G57" s="120"/>
      <c r="H57" s="129">
        <f>SUM(H3:H56)</f>
        <v>26960</v>
      </c>
      <c r="I57" s="106"/>
      <c r="J57" s="106"/>
      <c r="K57" s="106"/>
    </row>
    <row r="58" spans="1:11">
      <c r="A58" s="119"/>
      <c r="B58" s="119"/>
      <c r="C58" s="119"/>
      <c r="D58" s="119"/>
      <c r="E58" s="107"/>
      <c r="F58" s="119"/>
      <c r="G58" s="119"/>
      <c r="H58" s="119"/>
      <c r="I58" s="106"/>
      <c r="J58" s="106"/>
      <c r="K58" s="106"/>
    </row>
    <row r="59" spans="1:11">
      <c r="A59" s="119"/>
      <c r="B59" s="119"/>
      <c r="C59" s="119"/>
      <c r="D59" s="119"/>
      <c r="E59" s="119"/>
      <c r="F59" s="119"/>
      <c r="G59" s="119"/>
      <c r="H59" s="119"/>
      <c r="I59" s="106"/>
      <c r="J59" s="106"/>
      <c r="K59" s="106"/>
    </row>
    <row r="60" spans="1:11">
      <c r="A60" s="119"/>
      <c r="B60" s="119"/>
      <c r="C60" s="119"/>
      <c r="D60" s="119"/>
      <c r="E60" s="119"/>
      <c r="F60" s="119"/>
      <c r="G60" s="119"/>
      <c r="H60" s="119"/>
      <c r="I60" s="106"/>
      <c r="J60" s="106"/>
      <c r="K60" s="106"/>
    </row>
    <row r="61" spans="1:11">
      <c r="A61" s="119"/>
      <c r="B61" s="119"/>
      <c r="C61" s="119"/>
      <c r="D61" s="119"/>
      <c r="E61" s="119"/>
      <c r="F61" s="119"/>
      <c r="G61" s="119"/>
      <c r="H61" s="119"/>
      <c r="I61" s="106"/>
      <c r="J61" s="106"/>
      <c r="K61" s="106"/>
    </row>
    <row r="62" spans="1:11">
      <c r="A62" s="119"/>
      <c r="B62" s="119"/>
      <c r="C62" s="119"/>
      <c r="D62" s="119"/>
      <c r="E62" s="119"/>
      <c r="F62" s="119"/>
      <c r="G62" s="119"/>
      <c r="H62" s="119"/>
      <c r="I62" s="106"/>
      <c r="J62" s="106"/>
      <c r="K62" s="106"/>
    </row>
    <row r="63" spans="1:11">
      <c r="A63" s="119"/>
      <c r="B63" s="119"/>
      <c r="C63" s="119"/>
      <c r="D63" s="119"/>
      <c r="E63" s="119"/>
      <c r="F63" s="119"/>
      <c r="G63" s="119"/>
      <c r="H63" s="119"/>
      <c r="I63" s="106"/>
      <c r="J63" s="106"/>
      <c r="K63" s="106"/>
    </row>
    <row r="64" spans="1:11">
      <c r="A64" s="119"/>
      <c r="B64" s="119"/>
      <c r="C64" s="119"/>
      <c r="D64" s="119"/>
      <c r="E64" s="119"/>
      <c r="F64" s="119"/>
      <c r="G64" s="119"/>
      <c r="H64" s="119"/>
      <c r="I64" s="106"/>
      <c r="J64" s="106"/>
      <c r="K64" s="106"/>
    </row>
    <row r="65" spans="1:11">
      <c r="A65" s="119"/>
      <c r="B65" s="119"/>
      <c r="C65" s="119"/>
      <c r="D65" s="119"/>
      <c r="E65" s="119"/>
      <c r="F65" s="119"/>
      <c r="G65" s="119"/>
      <c r="H65" s="119"/>
      <c r="I65" s="106"/>
      <c r="J65" s="106"/>
      <c r="K65" s="106"/>
    </row>
    <row r="66" spans="1:11">
      <c r="A66" s="119"/>
      <c r="B66" s="119"/>
      <c r="C66" s="119"/>
      <c r="D66" s="119"/>
      <c r="E66" s="119"/>
      <c r="F66" s="119"/>
      <c r="G66" s="119"/>
      <c r="H66" s="119"/>
      <c r="I66" s="106"/>
      <c r="J66" s="106"/>
      <c r="K66" s="106"/>
    </row>
    <row r="67" spans="1:11">
      <c r="A67" s="119"/>
      <c r="B67" s="119"/>
      <c r="C67" s="119"/>
      <c r="D67" s="119"/>
      <c r="E67" s="119"/>
      <c r="F67" s="119"/>
      <c r="G67" s="119"/>
      <c r="H67" s="119"/>
      <c r="I67" s="106"/>
      <c r="J67" s="106"/>
      <c r="K67" s="106"/>
    </row>
    <row r="68" spans="1:11">
      <c r="A68" s="119"/>
      <c r="B68" s="119"/>
      <c r="C68" s="119"/>
      <c r="D68" s="119"/>
      <c r="E68" s="119"/>
      <c r="F68" s="119"/>
      <c r="G68" s="119"/>
      <c r="H68" s="119"/>
      <c r="I68" s="106"/>
      <c r="J68" s="106"/>
      <c r="K68" s="106"/>
    </row>
    <row r="69" spans="1:11">
      <c r="A69" s="119"/>
      <c r="B69" s="119"/>
      <c r="C69" s="119"/>
      <c r="D69" s="119"/>
      <c r="E69" s="119"/>
      <c r="F69" s="119"/>
      <c r="G69" s="119"/>
      <c r="H69" s="119"/>
      <c r="I69" s="106"/>
      <c r="J69" s="106"/>
      <c r="K69" s="106"/>
    </row>
    <row r="70" spans="1:11">
      <c r="A70" s="119"/>
      <c r="B70" s="119"/>
      <c r="C70" s="119"/>
      <c r="D70" s="119"/>
      <c r="E70" s="119"/>
      <c r="F70" s="119"/>
      <c r="G70" s="119"/>
      <c r="H70" s="119"/>
      <c r="I70" s="106"/>
      <c r="J70" s="106"/>
      <c r="K70" s="106"/>
    </row>
    <row r="71" spans="1:11">
      <c r="A71" s="119"/>
      <c r="B71" s="119"/>
      <c r="C71" s="119"/>
      <c r="D71" s="119"/>
      <c r="E71" s="119"/>
      <c r="F71" s="119"/>
      <c r="G71" s="119"/>
      <c r="H71" s="119"/>
      <c r="I71" s="106"/>
      <c r="J71" s="106"/>
      <c r="K71" s="106"/>
    </row>
    <row r="72" spans="1:11">
      <c r="A72" s="119"/>
      <c r="B72" s="119"/>
      <c r="C72" s="119"/>
      <c r="D72" s="119"/>
      <c r="E72" s="119"/>
      <c r="F72" s="119"/>
      <c r="G72" s="119"/>
      <c r="H72" s="119"/>
      <c r="I72" s="106"/>
      <c r="J72" s="106"/>
      <c r="K72" s="106"/>
    </row>
    <row r="73" spans="1:11">
      <c r="A73" s="119"/>
      <c r="B73" s="119"/>
      <c r="C73" s="119"/>
      <c r="D73" s="119"/>
      <c r="E73" s="119"/>
      <c r="F73" s="119"/>
      <c r="G73" s="119"/>
      <c r="H73" s="119"/>
      <c r="I73" s="106"/>
      <c r="J73" s="106"/>
      <c r="K73" s="106"/>
    </row>
    <row r="74" spans="1:11">
      <c r="A74" s="119"/>
      <c r="B74" s="119"/>
      <c r="C74" s="119"/>
      <c r="D74" s="119"/>
      <c r="E74" s="119"/>
      <c r="F74" s="119"/>
      <c r="G74" s="119"/>
      <c r="H74" s="119"/>
      <c r="I74" s="106"/>
      <c r="J74" s="106"/>
      <c r="K74" s="106"/>
    </row>
    <row r="75" spans="1:11">
      <c r="A75" s="119"/>
      <c r="B75" s="119"/>
      <c r="C75" s="119"/>
      <c r="D75" s="119"/>
      <c r="E75" s="119"/>
      <c r="F75" s="119"/>
      <c r="G75" s="119"/>
      <c r="H75" s="119"/>
      <c r="I75" s="106"/>
      <c r="J75" s="106"/>
      <c r="K75" s="106"/>
    </row>
    <row r="76" spans="1:11">
      <c r="A76" s="119"/>
      <c r="B76" s="119"/>
      <c r="C76" s="119"/>
      <c r="D76" s="119"/>
      <c r="E76" s="119"/>
      <c r="F76" s="119"/>
      <c r="G76" s="119"/>
      <c r="H76" s="119"/>
      <c r="I76" s="106"/>
      <c r="J76" s="106"/>
      <c r="K76" s="106"/>
    </row>
    <row r="77" spans="1:11">
      <c r="A77" s="119"/>
      <c r="B77" s="119"/>
      <c r="C77" s="119"/>
      <c r="D77" s="119"/>
      <c r="E77" s="119"/>
      <c r="F77" s="119"/>
      <c r="G77" s="119"/>
      <c r="H77" s="119"/>
      <c r="I77" s="106"/>
      <c r="J77" s="106"/>
      <c r="K77" s="106"/>
    </row>
    <row r="78" spans="1:11">
      <c r="A78" s="119"/>
      <c r="B78" s="119"/>
      <c r="C78" s="119"/>
      <c r="D78" s="119"/>
      <c r="E78" s="119"/>
      <c r="F78" s="119"/>
      <c r="G78" s="119"/>
      <c r="H78" s="119"/>
      <c r="I78" s="106"/>
      <c r="J78" s="106"/>
      <c r="K78" s="106"/>
    </row>
    <row r="79" spans="1:11">
      <c r="A79" s="119"/>
      <c r="B79" s="119"/>
      <c r="C79" s="119"/>
      <c r="D79" s="119"/>
      <c r="E79" s="119"/>
      <c r="F79" s="119"/>
      <c r="G79" s="119"/>
      <c r="H79" s="119"/>
      <c r="I79" s="106"/>
      <c r="J79" s="106"/>
      <c r="K79" s="106"/>
    </row>
    <row r="80" spans="1:11">
      <c r="A80" s="119"/>
      <c r="B80" s="119"/>
      <c r="C80" s="119"/>
      <c r="D80" s="119"/>
      <c r="E80" s="119"/>
      <c r="F80" s="119"/>
      <c r="G80" s="119"/>
      <c r="H80" s="119"/>
      <c r="I80" s="106"/>
      <c r="J80" s="106"/>
      <c r="K80" s="106"/>
    </row>
    <row r="81" spans="1:11">
      <c r="A81" s="119"/>
      <c r="B81" s="119"/>
      <c r="C81" s="119"/>
      <c r="D81" s="119"/>
      <c r="E81" s="119"/>
      <c r="F81" s="119"/>
      <c r="G81" s="119"/>
      <c r="H81" s="119"/>
      <c r="I81" s="106"/>
      <c r="J81" s="106"/>
      <c r="K81" s="106"/>
    </row>
    <row r="82" spans="1:11">
      <c r="A82" s="119"/>
      <c r="B82" s="119"/>
      <c r="C82" s="119"/>
      <c r="D82" s="119"/>
      <c r="E82" s="119"/>
      <c r="F82" s="119"/>
      <c r="G82" s="119"/>
      <c r="H82" s="119"/>
      <c r="I82" s="106"/>
      <c r="J82" s="106"/>
      <c r="K82" s="106"/>
    </row>
    <row r="83" spans="1:11">
      <c r="A83" s="119"/>
      <c r="B83" s="119"/>
      <c r="C83" s="119"/>
      <c r="D83" s="119"/>
      <c r="E83" s="119"/>
      <c r="F83" s="119"/>
      <c r="G83" s="119"/>
      <c r="H83" s="119"/>
      <c r="I83" s="106"/>
      <c r="J83" s="106"/>
      <c r="K83" s="106"/>
    </row>
    <row r="84" spans="1:11">
      <c r="A84" s="119"/>
      <c r="B84" s="119"/>
      <c r="C84" s="119"/>
      <c r="D84" s="119"/>
      <c r="E84" s="119"/>
      <c r="F84" s="119"/>
      <c r="G84" s="119"/>
      <c r="H84" s="119"/>
      <c r="I84" s="106"/>
      <c r="J84" s="106"/>
      <c r="K84" s="106"/>
    </row>
    <row r="85" spans="1:11">
      <c r="A85" s="119"/>
      <c r="B85" s="119"/>
      <c r="C85" s="119"/>
      <c r="D85" s="119"/>
      <c r="E85" s="119"/>
      <c r="F85" s="119"/>
      <c r="G85" s="119"/>
      <c r="H85" s="119"/>
      <c r="I85" s="106"/>
      <c r="J85" s="106"/>
      <c r="K85" s="106"/>
    </row>
    <row r="86" spans="1:11">
      <c r="A86" s="119"/>
      <c r="B86" s="119"/>
      <c r="C86" s="119"/>
      <c r="D86" s="119"/>
      <c r="E86" s="119"/>
      <c r="F86" s="119"/>
      <c r="G86" s="119"/>
      <c r="H86" s="119"/>
      <c r="I86" s="106"/>
      <c r="J86" s="106"/>
      <c r="K86" s="106"/>
    </row>
    <row r="87" spans="1:11">
      <c r="A87" s="119"/>
      <c r="B87" s="119"/>
      <c r="C87" s="119"/>
      <c r="D87" s="119"/>
      <c r="E87" s="119"/>
      <c r="F87" s="119"/>
      <c r="G87" s="119"/>
      <c r="H87" s="119"/>
      <c r="I87" s="106"/>
      <c r="J87" s="106"/>
      <c r="K87" s="106"/>
    </row>
    <row r="88" spans="1:11">
      <c r="A88" s="119"/>
      <c r="B88" s="119"/>
      <c r="C88" s="119"/>
      <c r="D88" s="119"/>
      <c r="E88" s="119"/>
      <c r="F88" s="119"/>
      <c r="G88" s="119"/>
      <c r="H88" s="119"/>
      <c r="I88" s="106"/>
      <c r="J88" s="106"/>
      <c r="K88" s="106"/>
    </row>
    <row r="89" spans="1:11">
      <c r="A89" s="119"/>
      <c r="B89" s="119"/>
      <c r="C89" s="119"/>
      <c r="D89" s="119"/>
      <c r="E89" s="119"/>
      <c r="F89" s="119"/>
      <c r="G89" s="119"/>
      <c r="H89" s="119"/>
      <c r="I89" s="106"/>
      <c r="J89" s="106"/>
      <c r="K89" s="106"/>
    </row>
    <row r="90" spans="1:11">
      <c r="A90" s="119"/>
      <c r="B90" s="119"/>
      <c r="C90" s="119"/>
      <c r="D90" s="119"/>
      <c r="E90" s="119"/>
      <c r="F90" s="119"/>
      <c r="G90" s="119"/>
      <c r="H90" s="119"/>
      <c r="I90" s="106"/>
      <c r="J90" s="106"/>
      <c r="K90" s="106"/>
    </row>
    <row r="91" spans="1:11">
      <c r="A91" s="119"/>
      <c r="B91" s="119"/>
      <c r="C91" s="119"/>
      <c r="D91" s="119"/>
      <c r="E91" s="119"/>
      <c r="F91" s="119"/>
      <c r="G91" s="119"/>
      <c r="H91" s="119"/>
      <c r="I91" s="106"/>
      <c r="J91" s="106"/>
      <c r="K91" s="106"/>
    </row>
    <row r="92" spans="1:11">
      <c r="A92" s="119"/>
      <c r="B92" s="119"/>
      <c r="C92" s="119"/>
      <c r="D92" s="119"/>
      <c r="E92" s="119"/>
      <c r="F92" s="119"/>
      <c r="G92" s="119"/>
      <c r="H92" s="119"/>
      <c r="I92" s="106"/>
      <c r="J92" s="106"/>
      <c r="K92" s="106"/>
    </row>
    <row r="93" spans="1:11">
      <c r="A93" s="119"/>
      <c r="B93" s="119"/>
      <c r="C93" s="119"/>
      <c r="D93" s="119"/>
      <c r="E93" s="119"/>
      <c r="F93" s="119"/>
      <c r="G93" s="119"/>
      <c r="H93" s="119"/>
      <c r="I93" s="106"/>
      <c r="J93" s="106"/>
      <c r="K93" s="106"/>
    </row>
    <row r="94" spans="1:11">
      <c r="A94" s="119"/>
      <c r="B94" s="119"/>
      <c r="C94" s="119"/>
      <c r="D94" s="119"/>
      <c r="E94" s="119"/>
      <c r="F94" s="119"/>
      <c r="G94" s="119"/>
      <c r="H94" s="119"/>
      <c r="I94" s="106"/>
      <c r="J94" s="106"/>
      <c r="K94" s="106"/>
    </row>
    <row r="95" spans="1:11">
      <c r="A95" s="119"/>
      <c r="B95" s="119"/>
      <c r="C95" s="119"/>
      <c r="D95" s="119"/>
      <c r="E95" s="119"/>
      <c r="F95" s="119"/>
      <c r="G95" s="119"/>
      <c r="H95" s="119"/>
      <c r="I95" s="106"/>
      <c r="J95" s="106"/>
      <c r="K95" s="106"/>
    </row>
    <row r="96" spans="1:11">
      <c r="A96" s="119"/>
      <c r="B96" s="119"/>
      <c r="C96" s="119"/>
      <c r="D96" s="119"/>
      <c r="E96" s="119"/>
      <c r="F96" s="119"/>
      <c r="G96" s="119"/>
      <c r="H96" s="119"/>
      <c r="I96" s="106"/>
      <c r="J96" s="106"/>
      <c r="K96" s="106"/>
    </row>
    <row r="97" spans="1:11">
      <c r="A97" s="119"/>
      <c r="B97" s="119"/>
      <c r="C97" s="119"/>
      <c r="D97" s="119"/>
      <c r="E97" s="119"/>
      <c r="F97" s="119"/>
      <c r="G97" s="119"/>
      <c r="H97" s="119"/>
      <c r="I97" s="106"/>
      <c r="J97" s="106"/>
      <c r="K97" s="106"/>
    </row>
    <row r="98" spans="1:11">
      <c r="A98" s="119"/>
      <c r="B98" s="119"/>
      <c r="C98" s="119"/>
      <c r="D98" s="119"/>
      <c r="E98" s="119"/>
      <c r="F98" s="119"/>
      <c r="G98" s="119"/>
      <c r="H98" s="119"/>
      <c r="I98" s="106"/>
      <c r="J98" s="106"/>
      <c r="K98" s="106"/>
    </row>
    <row r="99" spans="1:11">
      <c r="A99" s="119"/>
      <c r="B99" s="119"/>
      <c r="C99" s="119"/>
      <c r="D99" s="119"/>
      <c r="E99" s="119"/>
      <c r="F99" s="119"/>
      <c r="G99" s="119"/>
      <c r="H99" s="119"/>
      <c r="I99" s="106"/>
      <c r="J99" s="106"/>
      <c r="K99" s="106"/>
    </row>
    <row r="100" spans="1:11">
      <c r="A100" s="119"/>
      <c r="B100" s="119"/>
      <c r="C100" s="119"/>
      <c r="D100" s="119"/>
      <c r="E100" s="119"/>
      <c r="F100" s="119"/>
      <c r="G100" s="119"/>
      <c r="H100" s="119"/>
      <c r="I100" s="106"/>
      <c r="J100" s="106"/>
      <c r="K100" s="106"/>
    </row>
    <row r="101" spans="1:11">
      <c r="A101" s="119"/>
      <c r="B101" s="119"/>
      <c r="C101" s="119"/>
      <c r="D101" s="119"/>
      <c r="E101" s="119"/>
      <c r="F101" s="119"/>
      <c r="G101" s="119"/>
      <c r="H101" s="119"/>
      <c r="I101" s="106"/>
      <c r="J101" s="106"/>
      <c r="K101" s="106"/>
    </row>
    <row r="102" spans="1:11">
      <c r="A102" s="119"/>
      <c r="B102" s="119"/>
      <c r="C102" s="119"/>
      <c r="D102" s="119"/>
      <c r="E102" s="119"/>
      <c r="F102" s="119"/>
      <c r="G102" s="119"/>
      <c r="H102" s="119"/>
      <c r="I102" s="106"/>
      <c r="J102" s="106"/>
      <c r="K102" s="106"/>
    </row>
    <row r="103" spans="1:11">
      <c r="A103" s="119"/>
      <c r="B103" s="119"/>
      <c r="C103" s="119"/>
      <c r="D103" s="119"/>
      <c r="E103" s="119"/>
      <c r="F103" s="119"/>
      <c r="G103" s="119"/>
      <c r="H103" s="119"/>
      <c r="I103" s="106"/>
      <c r="J103" s="106"/>
      <c r="K103" s="106"/>
    </row>
    <row r="104" spans="1:11">
      <c r="A104" s="119"/>
      <c r="B104" s="119"/>
      <c r="C104" s="119"/>
      <c r="D104" s="119"/>
      <c r="E104" s="119"/>
      <c r="F104" s="119"/>
      <c r="G104" s="119"/>
      <c r="H104" s="119"/>
      <c r="I104" s="106"/>
      <c r="J104" s="106"/>
      <c r="K104" s="106"/>
    </row>
    <row r="105" spans="1:11">
      <c r="A105" s="119"/>
      <c r="B105" s="119"/>
      <c r="C105" s="119"/>
      <c r="D105" s="119"/>
      <c r="E105" s="119"/>
      <c r="F105" s="119"/>
      <c r="G105" s="119"/>
      <c r="H105" s="119"/>
      <c r="I105" s="106"/>
      <c r="J105" s="106"/>
      <c r="K105" s="106"/>
    </row>
    <row r="106" spans="1:11">
      <c r="A106" s="119"/>
      <c r="B106" s="119"/>
      <c r="C106" s="119"/>
      <c r="D106" s="119"/>
      <c r="E106" s="119"/>
      <c r="F106" s="119"/>
      <c r="G106" s="119"/>
      <c r="H106" s="119"/>
      <c r="I106" s="106"/>
      <c r="J106" s="106"/>
      <c r="K106" s="106"/>
    </row>
    <row r="107" spans="1:11">
      <c r="A107" s="119"/>
      <c r="B107" s="119"/>
      <c r="C107" s="119"/>
      <c r="D107" s="119"/>
      <c r="E107" s="119"/>
      <c r="F107" s="119"/>
      <c r="G107" s="119"/>
      <c r="H107" s="119"/>
      <c r="I107" s="106"/>
      <c r="J107" s="106"/>
      <c r="K107" s="106"/>
    </row>
    <row r="108" spans="1:11">
      <c r="A108" s="119"/>
      <c r="B108" s="119"/>
      <c r="C108" s="119"/>
      <c r="D108" s="119"/>
      <c r="E108" s="119"/>
      <c r="F108" s="119"/>
      <c r="G108" s="119"/>
      <c r="H108" s="119"/>
      <c r="I108" s="106"/>
      <c r="J108" s="106"/>
      <c r="K108" s="106"/>
    </row>
    <row r="109" spans="1:11">
      <c r="A109" s="119"/>
      <c r="B109" s="119"/>
      <c r="C109" s="119"/>
      <c r="D109" s="119"/>
      <c r="E109" s="119"/>
      <c r="F109" s="119"/>
      <c r="G109" s="119"/>
      <c r="H109" s="119"/>
      <c r="I109" s="106"/>
      <c r="J109" s="106"/>
      <c r="K109" s="106"/>
    </row>
    <row r="110" spans="1:11">
      <c r="A110" s="119"/>
      <c r="B110" s="119"/>
      <c r="C110" s="119"/>
      <c r="D110" s="119"/>
      <c r="E110" s="119"/>
      <c r="F110" s="119"/>
      <c r="G110" s="119"/>
      <c r="H110" s="119"/>
      <c r="I110" s="106"/>
      <c r="J110" s="106"/>
      <c r="K110" s="106"/>
    </row>
    <row r="111" spans="1:11">
      <c r="A111" s="119"/>
      <c r="B111" s="119"/>
      <c r="C111" s="119"/>
      <c r="D111" s="119"/>
      <c r="E111" s="119"/>
      <c r="F111" s="119"/>
      <c r="G111" s="119"/>
      <c r="H111" s="119"/>
      <c r="I111" s="106"/>
      <c r="J111" s="106"/>
      <c r="K111" s="106"/>
    </row>
    <row r="112" spans="1:11">
      <c r="A112" s="119"/>
      <c r="B112" s="119"/>
      <c r="C112" s="119"/>
      <c r="D112" s="119"/>
      <c r="E112" s="119"/>
      <c r="F112" s="119"/>
      <c r="G112" s="119"/>
      <c r="H112" s="119"/>
      <c r="I112" s="106"/>
      <c r="J112" s="106"/>
      <c r="K112" s="106"/>
    </row>
    <row r="113" spans="1:11">
      <c r="A113" s="119"/>
      <c r="B113" s="119"/>
      <c r="C113" s="119"/>
      <c r="D113" s="119"/>
      <c r="E113" s="119"/>
      <c r="F113" s="119"/>
      <c r="G113" s="119"/>
      <c r="H113" s="119"/>
      <c r="I113" s="106"/>
      <c r="J113" s="106"/>
      <c r="K113" s="106"/>
    </row>
    <row r="114" spans="1:11">
      <c r="A114" s="119"/>
      <c r="B114" s="119"/>
      <c r="C114" s="119"/>
      <c r="D114" s="119"/>
      <c r="E114" s="119"/>
      <c r="F114" s="119"/>
      <c r="G114" s="119"/>
      <c r="H114" s="119"/>
      <c r="I114" s="106"/>
      <c r="J114" s="106"/>
      <c r="K114" s="106"/>
    </row>
    <row r="115" spans="1:11">
      <c r="A115" s="119"/>
      <c r="B115" s="119"/>
      <c r="C115" s="119"/>
      <c r="D115" s="119"/>
      <c r="E115" s="119"/>
      <c r="F115" s="119"/>
      <c r="G115" s="119"/>
      <c r="H115" s="119"/>
      <c r="I115" s="106"/>
      <c r="J115" s="106"/>
      <c r="K115" s="106"/>
    </row>
    <row r="116" spans="1:11">
      <c r="A116" s="119"/>
      <c r="B116" s="119"/>
      <c r="C116" s="119"/>
      <c r="D116" s="119"/>
      <c r="E116" s="119"/>
      <c r="F116" s="119"/>
      <c r="G116" s="119"/>
      <c r="H116" s="119"/>
      <c r="I116" s="106"/>
      <c r="J116" s="106"/>
      <c r="K116" s="106"/>
    </row>
    <row r="117" spans="1:11">
      <c r="A117" s="119"/>
      <c r="B117" s="119"/>
      <c r="C117" s="119"/>
      <c r="D117" s="119"/>
      <c r="E117" s="119"/>
      <c r="F117" s="119"/>
      <c r="G117" s="119"/>
      <c r="H117" s="119"/>
      <c r="I117" s="106"/>
      <c r="J117" s="106"/>
      <c r="K117" s="106"/>
    </row>
    <row r="118" spans="1:11">
      <c r="A118" s="119"/>
      <c r="B118" s="119"/>
      <c r="C118" s="119"/>
      <c r="D118" s="119"/>
      <c r="E118" s="119"/>
      <c r="F118" s="119"/>
      <c r="G118" s="119"/>
      <c r="H118" s="119"/>
      <c r="I118" s="106"/>
      <c r="J118" s="106"/>
      <c r="K118" s="106"/>
    </row>
    <row r="119" spans="1:11">
      <c r="A119" s="119"/>
      <c r="B119" s="119"/>
      <c r="C119" s="119"/>
      <c r="D119" s="119"/>
      <c r="E119" s="119"/>
      <c r="F119" s="119"/>
      <c r="G119" s="119"/>
      <c r="H119" s="119"/>
      <c r="I119" s="106"/>
      <c r="J119" s="106"/>
      <c r="K119" s="106"/>
    </row>
    <row r="120" spans="1:11">
      <c r="A120" s="119"/>
      <c r="B120" s="119"/>
      <c r="C120" s="119"/>
      <c r="D120" s="119"/>
      <c r="E120" s="119"/>
      <c r="F120" s="119"/>
      <c r="G120" s="119"/>
      <c r="H120" s="119"/>
      <c r="I120" s="106"/>
      <c r="J120" s="106"/>
      <c r="K120" s="106"/>
    </row>
  </sheetData>
  <mergeCells count="1">
    <mergeCell ref="A1:H1"/>
  </mergeCells>
  <conditionalFormatting sqref="D1:D1048576">
    <cfRule type="duplicateValues" dxfId="24" priority="7"/>
    <cfRule type="duplicateValues" dxfId="23" priority="8"/>
  </conditionalFormatting>
  <conditionalFormatting sqref="D3:D54 C2:C1048576">
    <cfRule type="duplicateValues" dxfId="22" priority="197"/>
    <cfRule type="duplicateValues" dxfId="21" priority="198"/>
    <cfRule type="duplicateValues" dxfId="20" priority="199"/>
  </conditionalFormatting>
  <conditionalFormatting sqref="D55:D1048576 D2 A1">
    <cfRule type="duplicateValues" dxfId="19" priority="3"/>
  </conditionalFormatting>
  <conditionalFormatting sqref="J1:J1048576 D1:D1048576">
    <cfRule type="duplicateValues" dxfId="18" priority="1"/>
    <cfRule type="duplicateValues" dxfId="1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E613-72AA-4E49-B0B0-3A07BB28282F}">
  <dimension ref="A1:J112"/>
  <sheetViews>
    <sheetView rightToLeft="1" topLeftCell="A43" workbookViewId="0">
      <selection activeCell="C57" sqref="C57"/>
    </sheetView>
  </sheetViews>
  <sheetFormatPr defaultRowHeight="14.5"/>
  <cols>
    <col min="2" max="2" width="12.6328125" customWidth="1"/>
    <col min="3" max="3" width="46" bestFit="1" customWidth="1"/>
    <col min="4" max="4" width="11.453125" bestFit="1" customWidth="1"/>
    <col min="6" max="6" width="14.90625" customWidth="1"/>
    <col min="7" max="7" width="18.6328125" bestFit="1" customWidth="1"/>
    <col min="8" max="8" width="12.1796875" customWidth="1"/>
    <col min="9" max="9" width="13.1796875" customWidth="1"/>
  </cols>
  <sheetData>
    <row r="1" spans="1:10">
      <c r="A1" s="179" t="s">
        <v>24</v>
      </c>
      <c r="B1" s="179"/>
      <c r="C1" s="179"/>
      <c r="D1" s="179"/>
      <c r="E1" s="179"/>
      <c r="F1" s="179"/>
      <c r="G1" s="179"/>
      <c r="H1" s="179"/>
      <c r="I1" s="179"/>
      <c r="J1" s="85"/>
    </row>
    <row r="2" spans="1:10" ht="28.75" customHeight="1" thickBot="1">
      <c r="A2" s="180"/>
      <c r="B2" s="180"/>
      <c r="C2" s="180"/>
      <c r="D2" s="180"/>
      <c r="E2" s="180"/>
      <c r="F2" s="180"/>
      <c r="G2" s="180"/>
      <c r="H2" s="180"/>
      <c r="I2" s="180"/>
      <c r="J2" s="85"/>
    </row>
    <row r="3" spans="1:10" ht="25.25" customHeight="1">
      <c r="A3" s="86" t="s">
        <v>0</v>
      </c>
      <c r="B3" s="87" t="s">
        <v>1</v>
      </c>
      <c r="C3" s="88" t="s">
        <v>2</v>
      </c>
      <c r="D3" s="87" t="s">
        <v>25</v>
      </c>
      <c r="E3" s="87" t="s">
        <v>26</v>
      </c>
      <c r="F3" s="87" t="s">
        <v>27</v>
      </c>
      <c r="G3" s="89" t="s">
        <v>28</v>
      </c>
      <c r="H3" s="87" t="s">
        <v>29</v>
      </c>
      <c r="I3" s="90" t="s">
        <v>30</v>
      </c>
      <c r="J3" s="91"/>
    </row>
    <row r="4" spans="1:10" ht="30" customHeight="1">
      <c r="A4" s="95">
        <v>1</v>
      </c>
      <c r="B4" s="130" t="s">
        <v>37</v>
      </c>
      <c r="C4" s="95" t="s">
        <v>84</v>
      </c>
      <c r="D4" s="95">
        <v>17999</v>
      </c>
      <c r="E4" s="95" t="s">
        <v>38</v>
      </c>
      <c r="F4" s="95">
        <v>45917</v>
      </c>
      <c r="G4" s="96">
        <v>33.25</v>
      </c>
      <c r="H4" s="97">
        <v>1200</v>
      </c>
      <c r="I4" s="104">
        <f>G4*H4</f>
        <v>39900</v>
      </c>
      <c r="J4" s="93"/>
    </row>
    <row r="5" spans="1:10" ht="30" customHeight="1">
      <c r="A5" s="95">
        <v>2</v>
      </c>
      <c r="B5" s="130" t="s">
        <v>37</v>
      </c>
      <c r="C5" s="95" t="s">
        <v>84</v>
      </c>
      <c r="D5" s="95">
        <v>17994</v>
      </c>
      <c r="E5" s="95" t="s">
        <v>39</v>
      </c>
      <c r="F5" s="95">
        <v>48446</v>
      </c>
      <c r="G5" s="96">
        <v>31.81</v>
      </c>
      <c r="H5" s="97">
        <v>1200</v>
      </c>
      <c r="I5" s="104">
        <f t="shared" ref="I5:I6" si="0">G5*H5</f>
        <v>38172</v>
      </c>
      <c r="J5" s="93"/>
    </row>
    <row r="6" spans="1:10" ht="30" customHeight="1">
      <c r="A6" s="95">
        <v>3</v>
      </c>
      <c r="B6" s="130" t="s">
        <v>37</v>
      </c>
      <c r="C6" s="95" t="s">
        <v>84</v>
      </c>
      <c r="D6" s="95">
        <v>18000</v>
      </c>
      <c r="E6" s="95" t="s">
        <v>40</v>
      </c>
      <c r="F6" s="95">
        <v>33888</v>
      </c>
      <c r="G6" s="96">
        <v>30.73</v>
      </c>
      <c r="H6" s="97">
        <v>1200</v>
      </c>
      <c r="I6" s="104">
        <f t="shared" si="0"/>
        <v>36876</v>
      </c>
      <c r="J6" s="93"/>
    </row>
    <row r="7" spans="1:10" ht="30" customHeight="1">
      <c r="A7" s="95">
        <v>4</v>
      </c>
      <c r="B7" s="130" t="s">
        <v>37</v>
      </c>
      <c r="C7" s="95" t="s">
        <v>84</v>
      </c>
      <c r="D7" s="95">
        <v>17995</v>
      </c>
      <c r="E7" s="95" t="s">
        <v>31</v>
      </c>
      <c r="F7" s="95">
        <v>575</v>
      </c>
      <c r="G7" s="96">
        <v>32.729999999999997</v>
      </c>
      <c r="H7" s="97">
        <v>1200</v>
      </c>
      <c r="I7" s="104">
        <f t="shared" ref="I7:I51" si="1">G7*H7</f>
        <v>39275.999999999993</v>
      </c>
      <c r="J7" s="93"/>
    </row>
    <row r="8" spans="1:10" ht="30" customHeight="1">
      <c r="A8" s="95">
        <v>5</v>
      </c>
      <c r="B8" s="130" t="s">
        <v>37</v>
      </c>
      <c r="C8" s="95" t="s">
        <v>84</v>
      </c>
      <c r="D8" s="95">
        <v>18001</v>
      </c>
      <c r="E8" s="95" t="s">
        <v>36</v>
      </c>
      <c r="F8" s="95">
        <v>66886</v>
      </c>
      <c r="G8" s="96">
        <v>29.52</v>
      </c>
      <c r="H8" s="97">
        <v>1200</v>
      </c>
      <c r="I8" s="104">
        <f t="shared" si="1"/>
        <v>35424</v>
      </c>
      <c r="J8" s="93"/>
    </row>
    <row r="9" spans="1:10" ht="30" customHeight="1">
      <c r="A9" s="95">
        <v>6</v>
      </c>
      <c r="B9" s="130" t="s">
        <v>41</v>
      </c>
      <c r="C9" s="95" t="s">
        <v>84</v>
      </c>
      <c r="D9" s="95">
        <v>193</v>
      </c>
      <c r="E9" s="95" t="s">
        <v>42</v>
      </c>
      <c r="F9" s="95">
        <v>9637</v>
      </c>
      <c r="G9" s="96">
        <v>36.36</v>
      </c>
      <c r="H9" s="97">
        <v>1200</v>
      </c>
      <c r="I9" s="104">
        <f t="shared" si="1"/>
        <v>43632</v>
      </c>
      <c r="J9" s="93"/>
    </row>
    <row r="10" spans="1:10" ht="30" customHeight="1">
      <c r="A10" s="95">
        <v>7</v>
      </c>
      <c r="B10" s="130" t="s">
        <v>41</v>
      </c>
      <c r="C10" s="95" t="s">
        <v>84</v>
      </c>
      <c r="D10" s="95">
        <v>18208</v>
      </c>
      <c r="E10" s="95" t="s">
        <v>43</v>
      </c>
      <c r="F10" s="95">
        <v>38973</v>
      </c>
      <c r="G10" s="96">
        <v>35.39</v>
      </c>
      <c r="H10" s="97">
        <v>1200</v>
      </c>
      <c r="I10" s="104">
        <f t="shared" si="1"/>
        <v>42468</v>
      </c>
      <c r="J10" s="93"/>
    </row>
    <row r="11" spans="1:10" ht="30" customHeight="1">
      <c r="A11" s="95">
        <v>8</v>
      </c>
      <c r="B11" s="130" t="s">
        <v>41</v>
      </c>
      <c r="C11" s="95" t="s">
        <v>84</v>
      </c>
      <c r="D11" s="95">
        <v>18189</v>
      </c>
      <c r="E11" s="95" t="s">
        <v>44</v>
      </c>
      <c r="F11" s="95">
        <v>19757</v>
      </c>
      <c r="G11" s="96">
        <v>31.96</v>
      </c>
      <c r="H11" s="97">
        <v>1200</v>
      </c>
      <c r="I11" s="104">
        <f t="shared" si="1"/>
        <v>38352</v>
      </c>
      <c r="J11" s="93"/>
    </row>
    <row r="12" spans="1:10" ht="30" customHeight="1">
      <c r="A12" s="95">
        <v>9</v>
      </c>
      <c r="B12" s="130" t="s">
        <v>41</v>
      </c>
      <c r="C12" s="95" t="s">
        <v>85</v>
      </c>
      <c r="D12" s="95">
        <v>18209</v>
      </c>
      <c r="E12" s="95" t="s">
        <v>35</v>
      </c>
      <c r="F12" s="95">
        <v>63655</v>
      </c>
      <c r="G12" s="96">
        <v>31.8</v>
      </c>
      <c r="H12" s="97">
        <v>1180</v>
      </c>
      <c r="I12" s="104">
        <f t="shared" si="1"/>
        <v>37524</v>
      </c>
      <c r="J12" s="93"/>
    </row>
    <row r="13" spans="1:10" ht="30" customHeight="1">
      <c r="A13" s="95">
        <v>10</v>
      </c>
      <c r="B13" s="130" t="s">
        <v>41</v>
      </c>
      <c r="C13" s="95" t="s">
        <v>85</v>
      </c>
      <c r="D13" s="95">
        <v>18235</v>
      </c>
      <c r="E13" s="95" t="s">
        <v>45</v>
      </c>
      <c r="F13" s="95">
        <v>32562</v>
      </c>
      <c r="G13" s="96">
        <v>35.020000000000003</v>
      </c>
      <c r="H13" s="97">
        <v>1180</v>
      </c>
      <c r="I13" s="104">
        <f t="shared" si="1"/>
        <v>41323.600000000006</v>
      </c>
      <c r="J13" s="93"/>
    </row>
    <row r="14" spans="1:10" ht="30" customHeight="1">
      <c r="A14" s="95">
        <v>11</v>
      </c>
      <c r="B14" s="130" t="s">
        <v>46</v>
      </c>
      <c r="C14" s="95" t="s">
        <v>85</v>
      </c>
      <c r="D14" s="95">
        <v>18399</v>
      </c>
      <c r="E14" s="95" t="s">
        <v>47</v>
      </c>
      <c r="F14" s="95">
        <v>6981</v>
      </c>
      <c r="G14" s="96">
        <v>33.03</v>
      </c>
      <c r="H14" s="97">
        <v>1180</v>
      </c>
      <c r="I14" s="104">
        <f t="shared" si="1"/>
        <v>38975.4</v>
      </c>
      <c r="J14" s="93"/>
    </row>
    <row r="15" spans="1:10" ht="30" customHeight="1">
      <c r="A15" s="95">
        <v>12</v>
      </c>
      <c r="B15" s="130" t="s">
        <v>48</v>
      </c>
      <c r="C15" s="95" t="s">
        <v>85</v>
      </c>
      <c r="D15" s="95">
        <v>199</v>
      </c>
      <c r="E15" s="95" t="s">
        <v>49</v>
      </c>
      <c r="F15" s="95">
        <v>36224</v>
      </c>
      <c r="G15" s="96">
        <v>31.855</v>
      </c>
      <c r="H15" s="97">
        <v>1180</v>
      </c>
      <c r="I15" s="104">
        <f t="shared" si="1"/>
        <v>37588.9</v>
      </c>
      <c r="J15" s="93"/>
    </row>
    <row r="16" spans="1:10" ht="30" customHeight="1">
      <c r="A16" s="95">
        <v>13</v>
      </c>
      <c r="B16" s="130" t="s">
        <v>48</v>
      </c>
      <c r="C16" s="95" t="s">
        <v>85</v>
      </c>
      <c r="D16" s="95">
        <v>2326</v>
      </c>
      <c r="E16" s="95" t="s">
        <v>50</v>
      </c>
      <c r="F16" s="95">
        <v>45816</v>
      </c>
      <c r="G16" s="96">
        <v>34.94</v>
      </c>
      <c r="H16" s="97">
        <v>1180</v>
      </c>
      <c r="I16" s="104">
        <f t="shared" si="1"/>
        <v>41229.199999999997</v>
      </c>
      <c r="J16" s="93"/>
    </row>
    <row r="17" spans="1:10" ht="30" customHeight="1">
      <c r="A17" s="95">
        <v>14</v>
      </c>
      <c r="B17" s="130" t="s">
        <v>48</v>
      </c>
      <c r="C17" s="95" t="s">
        <v>85</v>
      </c>
      <c r="D17" s="95">
        <v>2327</v>
      </c>
      <c r="E17" s="95" t="s">
        <v>51</v>
      </c>
      <c r="F17" s="95">
        <v>69192</v>
      </c>
      <c r="G17" s="96">
        <v>33.96</v>
      </c>
      <c r="H17" s="97">
        <v>1180</v>
      </c>
      <c r="I17" s="104">
        <f t="shared" si="1"/>
        <v>40072.800000000003</v>
      </c>
      <c r="J17" s="93"/>
    </row>
    <row r="18" spans="1:10" ht="30" customHeight="1">
      <c r="A18" s="95">
        <v>15</v>
      </c>
      <c r="B18" s="130" t="s">
        <v>48</v>
      </c>
      <c r="C18" s="95" t="s">
        <v>85</v>
      </c>
      <c r="D18" s="95">
        <v>196</v>
      </c>
      <c r="E18" s="95" t="s">
        <v>52</v>
      </c>
      <c r="F18" s="95">
        <v>45465</v>
      </c>
      <c r="G18" s="96">
        <v>31.31</v>
      </c>
      <c r="H18" s="97">
        <v>1180</v>
      </c>
      <c r="I18" s="104">
        <f t="shared" si="1"/>
        <v>36945.799999999996</v>
      </c>
      <c r="J18" s="93"/>
    </row>
    <row r="19" spans="1:10" ht="30" customHeight="1">
      <c r="A19" s="95">
        <v>16</v>
      </c>
      <c r="B19" s="130" t="s">
        <v>48</v>
      </c>
      <c r="C19" s="95" t="s">
        <v>85</v>
      </c>
      <c r="D19" s="95">
        <v>2319</v>
      </c>
      <c r="E19" s="95" t="s">
        <v>51</v>
      </c>
      <c r="F19" s="95">
        <v>54586</v>
      </c>
      <c r="G19" s="96">
        <v>33.380000000000003</v>
      </c>
      <c r="H19" s="97">
        <v>1180</v>
      </c>
      <c r="I19" s="104">
        <f t="shared" si="1"/>
        <v>39388.400000000001</v>
      </c>
      <c r="J19" s="93"/>
    </row>
    <row r="20" spans="1:10" ht="30" customHeight="1">
      <c r="A20" s="95">
        <v>17</v>
      </c>
      <c r="B20" s="130" t="s">
        <v>48</v>
      </c>
      <c r="C20" s="95" t="s">
        <v>85</v>
      </c>
      <c r="D20" s="95">
        <v>18471</v>
      </c>
      <c r="E20" s="95" t="s">
        <v>53</v>
      </c>
      <c r="F20" s="95">
        <v>96189</v>
      </c>
      <c r="G20" s="96">
        <v>31.28</v>
      </c>
      <c r="H20" s="97">
        <v>1180</v>
      </c>
      <c r="I20" s="104">
        <f t="shared" si="1"/>
        <v>36910.400000000001</v>
      </c>
      <c r="J20" s="93"/>
    </row>
    <row r="21" spans="1:10" ht="30" customHeight="1">
      <c r="A21" s="95">
        <v>18</v>
      </c>
      <c r="B21" s="130" t="s">
        <v>54</v>
      </c>
      <c r="C21" s="95" t="s">
        <v>85</v>
      </c>
      <c r="D21" s="95">
        <v>19751</v>
      </c>
      <c r="E21" s="95" t="s">
        <v>34</v>
      </c>
      <c r="F21" s="95">
        <v>574</v>
      </c>
      <c r="G21" s="96">
        <v>33.81</v>
      </c>
      <c r="H21" s="97">
        <v>1180</v>
      </c>
      <c r="I21" s="104">
        <f t="shared" si="1"/>
        <v>39895.800000000003</v>
      </c>
      <c r="J21" s="93"/>
    </row>
    <row r="22" spans="1:10" ht="30" customHeight="1">
      <c r="A22" s="95">
        <v>19</v>
      </c>
      <c r="B22" s="130" t="s">
        <v>55</v>
      </c>
      <c r="C22" s="95" t="s">
        <v>85</v>
      </c>
      <c r="D22" s="95">
        <v>18595</v>
      </c>
      <c r="E22" s="95" t="s">
        <v>56</v>
      </c>
      <c r="F22" s="95">
        <v>7144</v>
      </c>
      <c r="G22" s="96">
        <v>35.68</v>
      </c>
      <c r="H22" s="97">
        <v>1180</v>
      </c>
      <c r="I22" s="104">
        <f t="shared" si="1"/>
        <v>42102.400000000001</v>
      </c>
      <c r="J22" s="93"/>
    </row>
    <row r="23" spans="1:10" ht="30" customHeight="1">
      <c r="A23" s="95">
        <v>20</v>
      </c>
      <c r="B23" s="130" t="s">
        <v>55</v>
      </c>
      <c r="C23" s="95" t="s">
        <v>85</v>
      </c>
      <c r="D23" s="95">
        <v>34716</v>
      </c>
      <c r="E23" s="95" t="s">
        <v>57</v>
      </c>
      <c r="F23" s="95">
        <v>34716</v>
      </c>
      <c r="G23" s="96">
        <v>33.61</v>
      </c>
      <c r="H23" s="97">
        <v>1180</v>
      </c>
      <c r="I23" s="104">
        <f t="shared" si="1"/>
        <v>39659.800000000003</v>
      </c>
      <c r="J23" s="93"/>
    </row>
    <row r="24" spans="1:10" ht="30" customHeight="1">
      <c r="A24" s="95">
        <v>21</v>
      </c>
      <c r="B24" s="130" t="s">
        <v>55</v>
      </c>
      <c r="C24" s="95" t="s">
        <v>85</v>
      </c>
      <c r="D24" s="95">
        <v>2330</v>
      </c>
      <c r="E24" s="95" t="s">
        <v>58</v>
      </c>
      <c r="F24" s="95">
        <v>37828</v>
      </c>
      <c r="G24" s="96">
        <v>34.159999999999997</v>
      </c>
      <c r="H24" s="97">
        <v>1180</v>
      </c>
      <c r="I24" s="104">
        <f t="shared" si="1"/>
        <v>40308.799999999996</v>
      </c>
      <c r="J24" s="93"/>
    </row>
    <row r="25" spans="1:10" ht="30" customHeight="1">
      <c r="A25" s="95">
        <v>22</v>
      </c>
      <c r="B25" s="130" t="s">
        <v>55</v>
      </c>
      <c r="C25" s="95" t="s">
        <v>85</v>
      </c>
      <c r="D25" s="95">
        <v>201</v>
      </c>
      <c r="E25" s="95" t="s">
        <v>59</v>
      </c>
      <c r="F25" s="95">
        <v>4302</v>
      </c>
      <c r="G25" s="96">
        <v>35.99</v>
      </c>
      <c r="H25" s="97">
        <v>1180</v>
      </c>
      <c r="I25" s="104">
        <f t="shared" si="1"/>
        <v>42468.200000000004</v>
      </c>
      <c r="J25" s="93"/>
    </row>
    <row r="26" spans="1:10" ht="30" customHeight="1">
      <c r="A26" s="95">
        <v>23</v>
      </c>
      <c r="B26" s="130" t="s">
        <v>55</v>
      </c>
      <c r="C26" s="95" t="s">
        <v>85</v>
      </c>
      <c r="D26" s="95">
        <v>604</v>
      </c>
      <c r="E26" s="95" t="s">
        <v>60</v>
      </c>
      <c r="F26" s="95">
        <v>91294</v>
      </c>
      <c r="G26" s="96">
        <v>33.590000000000003</v>
      </c>
      <c r="H26" s="97">
        <v>1180</v>
      </c>
      <c r="I26" s="104">
        <f t="shared" si="1"/>
        <v>39636.200000000004</v>
      </c>
      <c r="J26" s="93"/>
    </row>
    <row r="27" spans="1:10" ht="30" customHeight="1">
      <c r="A27" s="95">
        <v>24</v>
      </c>
      <c r="B27" s="130" t="s">
        <v>61</v>
      </c>
      <c r="C27" s="95" t="s">
        <v>85</v>
      </c>
      <c r="D27" s="95">
        <v>2</v>
      </c>
      <c r="E27" s="95" t="s">
        <v>62</v>
      </c>
      <c r="F27" s="95">
        <v>29423</v>
      </c>
      <c r="G27" s="96">
        <v>32.975000000000001</v>
      </c>
      <c r="H27" s="97">
        <v>1180</v>
      </c>
      <c r="I27" s="104">
        <f t="shared" si="1"/>
        <v>38910.5</v>
      </c>
      <c r="J27" s="93"/>
    </row>
    <row r="28" spans="1:10" ht="30" customHeight="1">
      <c r="A28" s="95">
        <v>25</v>
      </c>
      <c r="B28" s="130" t="s">
        <v>61</v>
      </c>
      <c r="C28" s="95" t="s">
        <v>85</v>
      </c>
      <c r="D28" s="95">
        <v>11</v>
      </c>
      <c r="E28" s="95" t="s">
        <v>63</v>
      </c>
      <c r="F28" s="95">
        <v>34921</v>
      </c>
      <c r="G28" s="96">
        <v>34.18</v>
      </c>
      <c r="H28" s="97">
        <v>1180</v>
      </c>
      <c r="I28" s="104">
        <f t="shared" si="1"/>
        <v>40332.400000000001</v>
      </c>
      <c r="J28" s="93"/>
    </row>
    <row r="29" spans="1:10" ht="30" customHeight="1">
      <c r="A29" s="95">
        <v>26</v>
      </c>
      <c r="B29" s="130" t="s">
        <v>61</v>
      </c>
      <c r="C29" s="95" t="s">
        <v>85</v>
      </c>
      <c r="D29" s="95">
        <v>3</v>
      </c>
      <c r="E29" s="95" t="s">
        <v>64</v>
      </c>
      <c r="F29" s="95">
        <v>48229</v>
      </c>
      <c r="G29" s="96">
        <v>36.06</v>
      </c>
      <c r="H29" s="97">
        <v>1180</v>
      </c>
      <c r="I29" s="104">
        <f t="shared" si="1"/>
        <v>42550.8</v>
      </c>
      <c r="J29" s="93"/>
    </row>
    <row r="30" spans="1:10" ht="30" customHeight="1">
      <c r="A30" s="95">
        <v>27</v>
      </c>
      <c r="B30" s="130" t="s">
        <v>61</v>
      </c>
      <c r="C30" s="95" t="s">
        <v>84</v>
      </c>
      <c r="D30" s="95">
        <v>10</v>
      </c>
      <c r="E30" s="95" t="s">
        <v>65</v>
      </c>
      <c r="F30" s="95">
        <v>37694</v>
      </c>
      <c r="G30" s="96">
        <v>33.31</v>
      </c>
      <c r="H30" s="97">
        <v>1210</v>
      </c>
      <c r="I30" s="104">
        <f t="shared" si="1"/>
        <v>40305.100000000006</v>
      </c>
      <c r="J30" s="93"/>
    </row>
    <row r="31" spans="1:10" ht="30" customHeight="1">
      <c r="A31" s="95">
        <v>28</v>
      </c>
      <c r="B31" s="130" t="s">
        <v>61</v>
      </c>
      <c r="C31" s="95" t="s">
        <v>84</v>
      </c>
      <c r="D31" s="95">
        <v>18689</v>
      </c>
      <c r="E31" s="95" t="s">
        <v>66</v>
      </c>
      <c r="F31" s="95">
        <v>37697</v>
      </c>
      <c r="G31" s="96">
        <v>35.03</v>
      </c>
      <c r="H31" s="97">
        <v>1210</v>
      </c>
      <c r="I31" s="104">
        <f t="shared" si="1"/>
        <v>42386.3</v>
      </c>
      <c r="J31" s="93"/>
    </row>
    <row r="32" spans="1:10" ht="30" customHeight="1">
      <c r="A32" s="95">
        <v>29</v>
      </c>
      <c r="B32" s="130" t="s">
        <v>61</v>
      </c>
      <c r="C32" s="95" t="s">
        <v>84</v>
      </c>
      <c r="D32" s="95">
        <v>2345</v>
      </c>
      <c r="E32" s="95" t="s">
        <v>67</v>
      </c>
      <c r="F32" s="95">
        <v>33389</v>
      </c>
      <c r="G32" s="96">
        <v>28.5</v>
      </c>
      <c r="H32" s="97">
        <v>1210</v>
      </c>
      <c r="I32" s="104">
        <f t="shared" si="1"/>
        <v>34485</v>
      </c>
      <c r="J32" s="93"/>
    </row>
    <row r="33" spans="1:10" ht="30" customHeight="1">
      <c r="A33" s="95">
        <v>30</v>
      </c>
      <c r="B33" s="130" t="s">
        <v>61</v>
      </c>
      <c r="C33" s="95" t="s">
        <v>84</v>
      </c>
      <c r="D33" s="95">
        <v>2347</v>
      </c>
      <c r="E33" s="95" t="s">
        <v>68</v>
      </c>
      <c r="F33" s="95">
        <v>35991</v>
      </c>
      <c r="G33" s="96">
        <v>32.97</v>
      </c>
      <c r="H33" s="97">
        <v>1210</v>
      </c>
      <c r="I33" s="104">
        <f t="shared" si="1"/>
        <v>39893.699999999997</v>
      </c>
      <c r="J33" s="93"/>
    </row>
    <row r="34" spans="1:10" ht="30" customHeight="1">
      <c r="A34" s="95">
        <v>31</v>
      </c>
      <c r="B34" s="130" t="s">
        <v>61</v>
      </c>
      <c r="C34" s="95" t="s">
        <v>84</v>
      </c>
      <c r="D34" s="95">
        <v>2346</v>
      </c>
      <c r="E34" s="95" t="s">
        <v>60</v>
      </c>
      <c r="F34" s="95">
        <v>71521</v>
      </c>
      <c r="G34" s="96">
        <v>32.119999999999997</v>
      </c>
      <c r="H34" s="97">
        <v>1210</v>
      </c>
      <c r="I34" s="104">
        <f t="shared" si="1"/>
        <v>38865.199999999997</v>
      </c>
      <c r="J34" s="93"/>
    </row>
    <row r="35" spans="1:10" ht="30" customHeight="1">
      <c r="A35" s="95">
        <v>32</v>
      </c>
      <c r="B35" s="130" t="s">
        <v>69</v>
      </c>
      <c r="C35" s="95" t="s">
        <v>84</v>
      </c>
      <c r="D35" s="95">
        <v>27</v>
      </c>
      <c r="E35" s="95" t="s">
        <v>70</v>
      </c>
      <c r="F35" s="95">
        <v>42553</v>
      </c>
      <c r="G35" s="96">
        <v>35.145000000000003</v>
      </c>
      <c r="H35" s="97">
        <v>1210</v>
      </c>
      <c r="I35" s="104">
        <f t="shared" si="1"/>
        <v>42525.450000000004</v>
      </c>
      <c r="J35" s="93"/>
    </row>
    <row r="36" spans="1:10" ht="30" customHeight="1">
      <c r="A36" s="95">
        <v>33</v>
      </c>
      <c r="B36" s="130" t="s">
        <v>69</v>
      </c>
      <c r="C36" s="95" t="s">
        <v>84</v>
      </c>
      <c r="D36" s="95">
        <v>16</v>
      </c>
      <c r="E36" s="95" t="s">
        <v>71</v>
      </c>
      <c r="F36" s="95">
        <v>37269</v>
      </c>
      <c r="G36" s="96">
        <v>34.844999999999999</v>
      </c>
      <c r="H36" s="97">
        <v>1210</v>
      </c>
      <c r="I36" s="104">
        <f t="shared" si="1"/>
        <v>42162.45</v>
      </c>
      <c r="J36" s="93"/>
    </row>
    <row r="37" spans="1:10" ht="30" customHeight="1">
      <c r="A37" s="95">
        <v>34</v>
      </c>
      <c r="B37" s="130" t="s">
        <v>69</v>
      </c>
      <c r="C37" s="95" t="s">
        <v>84</v>
      </c>
      <c r="D37" s="95">
        <v>29</v>
      </c>
      <c r="E37" s="95" t="s">
        <v>56</v>
      </c>
      <c r="F37" s="95">
        <v>43842</v>
      </c>
      <c r="G37" s="96">
        <v>35.07</v>
      </c>
      <c r="H37" s="97">
        <v>1210</v>
      </c>
      <c r="I37" s="104">
        <f t="shared" si="1"/>
        <v>42434.7</v>
      </c>
      <c r="J37" s="93"/>
    </row>
    <row r="38" spans="1:10" ht="30" customHeight="1">
      <c r="A38" s="95">
        <v>35</v>
      </c>
      <c r="B38" s="130" t="s">
        <v>69</v>
      </c>
      <c r="C38" s="95" t="s">
        <v>84</v>
      </c>
      <c r="D38" s="95">
        <v>18</v>
      </c>
      <c r="E38" s="95" t="s">
        <v>72</v>
      </c>
      <c r="F38" s="95">
        <v>21167</v>
      </c>
      <c r="G38" s="96">
        <v>32.56</v>
      </c>
      <c r="H38" s="97">
        <v>1210</v>
      </c>
      <c r="I38" s="104">
        <f t="shared" si="1"/>
        <v>39397.600000000006</v>
      </c>
      <c r="J38" s="93"/>
    </row>
    <row r="39" spans="1:10" ht="30" customHeight="1">
      <c r="A39" s="95">
        <v>36</v>
      </c>
      <c r="B39" s="130" t="s">
        <v>69</v>
      </c>
      <c r="C39" s="95" t="s">
        <v>84</v>
      </c>
      <c r="D39" s="95">
        <v>22</v>
      </c>
      <c r="E39" s="95" t="s">
        <v>73</v>
      </c>
      <c r="F39" s="95">
        <v>29318</v>
      </c>
      <c r="G39" s="96">
        <v>39.229999999999997</v>
      </c>
      <c r="H39" s="97">
        <v>1210</v>
      </c>
      <c r="I39" s="104">
        <f t="shared" si="1"/>
        <v>47468.299999999996</v>
      </c>
      <c r="J39" s="93"/>
    </row>
    <row r="40" spans="1:10" ht="30" customHeight="1">
      <c r="A40" s="95">
        <v>37</v>
      </c>
      <c r="B40" s="130" t="s">
        <v>69</v>
      </c>
      <c r="C40" s="95" t="s">
        <v>84</v>
      </c>
      <c r="D40" s="95">
        <v>23</v>
      </c>
      <c r="E40" s="95" t="s">
        <v>74</v>
      </c>
      <c r="F40" s="95">
        <v>54893</v>
      </c>
      <c r="G40" s="96">
        <v>34.47</v>
      </c>
      <c r="H40" s="97">
        <v>1210</v>
      </c>
      <c r="I40" s="104">
        <f t="shared" si="1"/>
        <v>41708.699999999997</v>
      </c>
      <c r="J40" s="93"/>
    </row>
    <row r="41" spans="1:10" ht="30" customHeight="1">
      <c r="A41" s="95">
        <v>38</v>
      </c>
      <c r="B41" s="130" t="s">
        <v>69</v>
      </c>
      <c r="C41" s="95" t="s">
        <v>84</v>
      </c>
      <c r="D41" s="95">
        <v>30</v>
      </c>
      <c r="E41" s="95" t="s">
        <v>33</v>
      </c>
      <c r="F41" s="95">
        <v>41145</v>
      </c>
      <c r="G41" s="96">
        <v>35.909999999999997</v>
      </c>
      <c r="H41" s="97">
        <v>1210</v>
      </c>
      <c r="I41" s="104">
        <f t="shared" si="1"/>
        <v>43451.1</v>
      </c>
      <c r="J41" s="93"/>
    </row>
    <row r="42" spans="1:10" ht="30" customHeight="1">
      <c r="A42" s="95">
        <v>39</v>
      </c>
      <c r="B42" s="130" t="s">
        <v>69</v>
      </c>
      <c r="C42" s="95" t="s">
        <v>84</v>
      </c>
      <c r="D42" s="95">
        <v>17</v>
      </c>
      <c r="E42" s="95" t="s">
        <v>75</v>
      </c>
      <c r="F42" s="95">
        <v>22594</v>
      </c>
      <c r="G42" s="96">
        <v>28.14</v>
      </c>
      <c r="H42" s="97">
        <v>1210</v>
      </c>
      <c r="I42" s="104">
        <f t="shared" si="1"/>
        <v>34049.4</v>
      </c>
      <c r="J42" s="93"/>
    </row>
    <row r="43" spans="1:10" ht="30" customHeight="1">
      <c r="A43" s="95">
        <v>40</v>
      </c>
      <c r="B43" s="130" t="s">
        <v>69</v>
      </c>
      <c r="C43" s="95" t="s">
        <v>84</v>
      </c>
      <c r="D43" s="95">
        <v>20</v>
      </c>
      <c r="E43" s="95" t="s">
        <v>76</v>
      </c>
      <c r="F43" s="95">
        <v>42535</v>
      </c>
      <c r="G43" s="96">
        <v>33.704999999999998</v>
      </c>
      <c r="H43" s="97">
        <v>1210</v>
      </c>
      <c r="I43" s="104">
        <f t="shared" si="1"/>
        <v>40783.049999999996</v>
      </c>
      <c r="J43" s="93"/>
    </row>
    <row r="44" spans="1:10" ht="30" customHeight="1">
      <c r="A44" s="95">
        <v>41</v>
      </c>
      <c r="B44" s="130" t="s">
        <v>69</v>
      </c>
      <c r="C44" s="95" t="s">
        <v>84</v>
      </c>
      <c r="D44" s="95">
        <v>32</v>
      </c>
      <c r="E44" s="95" t="s">
        <v>77</v>
      </c>
      <c r="F44" s="95">
        <v>31899</v>
      </c>
      <c r="G44" s="96">
        <v>32.770000000000003</v>
      </c>
      <c r="H44" s="97">
        <v>1210</v>
      </c>
      <c r="I44" s="104">
        <f t="shared" si="1"/>
        <v>39651.700000000004</v>
      </c>
      <c r="J44" s="93"/>
    </row>
    <row r="45" spans="1:10" ht="30" customHeight="1">
      <c r="A45" s="95">
        <v>42</v>
      </c>
      <c r="B45" s="130" t="s">
        <v>69</v>
      </c>
      <c r="C45" s="95" t="s">
        <v>84</v>
      </c>
      <c r="D45" s="95">
        <v>31</v>
      </c>
      <c r="E45" s="95" t="s">
        <v>78</v>
      </c>
      <c r="F45" s="95">
        <v>31252</v>
      </c>
      <c r="G45" s="96">
        <v>31.43</v>
      </c>
      <c r="H45" s="97">
        <v>1210</v>
      </c>
      <c r="I45" s="104">
        <f t="shared" si="1"/>
        <v>38030.300000000003</v>
      </c>
      <c r="J45" s="93"/>
    </row>
    <row r="46" spans="1:10" ht="30" customHeight="1">
      <c r="A46" s="95">
        <v>43</v>
      </c>
      <c r="B46" s="130" t="s">
        <v>69</v>
      </c>
      <c r="C46" s="95" t="s">
        <v>84</v>
      </c>
      <c r="D46" s="95">
        <v>25</v>
      </c>
      <c r="E46" s="95" t="s">
        <v>79</v>
      </c>
      <c r="F46" s="95">
        <v>38884</v>
      </c>
      <c r="G46" s="96">
        <v>30.12</v>
      </c>
      <c r="H46" s="97">
        <v>1210</v>
      </c>
      <c r="I46" s="104">
        <f t="shared" si="1"/>
        <v>36445.200000000004</v>
      </c>
      <c r="J46" s="93"/>
    </row>
    <row r="47" spans="1:10" ht="30" customHeight="1">
      <c r="A47" s="95">
        <v>44</v>
      </c>
      <c r="B47" s="130" t="s">
        <v>69</v>
      </c>
      <c r="C47" s="95" t="s">
        <v>84</v>
      </c>
      <c r="D47" s="95">
        <v>21</v>
      </c>
      <c r="E47" s="95" t="s">
        <v>80</v>
      </c>
      <c r="F47" s="95">
        <v>46479</v>
      </c>
      <c r="G47" s="96">
        <v>31.47</v>
      </c>
      <c r="H47" s="97">
        <v>1210</v>
      </c>
      <c r="I47" s="104">
        <f t="shared" si="1"/>
        <v>38078.699999999997</v>
      </c>
      <c r="J47" s="93"/>
    </row>
    <row r="48" spans="1:10" ht="30" customHeight="1">
      <c r="A48" s="95">
        <v>45</v>
      </c>
      <c r="B48" s="130" t="s">
        <v>69</v>
      </c>
      <c r="C48" s="95" t="s">
        <v>84</v>
      </c>
      <c r="D48" s="95">
        <v>24</v>
      </c>
      <c r="E48" s="95" t="s">
        <v>81</v>
      </c>
      <c r="F48" s="95">
        <v>29231</v>
      </c>
      <c r="G48" s="96">
        <v>33.015000000000001</v>
      </c>
      <c r="H48" s="97">
        <v>1210</v>
      </c>
      <c r="I48" s="104">
        <f t="shared" si="1"/>
        <v>39948.15</v>
      </c>
      <c r="J48" s="93"/>
    </row>
    <row r="49" spans="1:10" ht="30" customHeight="1">
      <c r="A49" s="95">
        <v>46</v>
      </c>
      <c r="B49" s="130" t="s">
        <v>69</v>
      </c>
      <c r="C49" s="95" t="s">
        <v>84</v>
      </c>
      <c r="D49" s="95">
        <v>14</v>
      </c>
      <c r="E49" s="95" t="s">
        <v>82</v>
      </c>
      <c r="F49" s="95">
        <v>28571</v>
      </c>
      <c r="G49" s="96">
        <v>30.734999999999999</v>
      </c>
      <c r="H49" s="97">
        <v>1210</v>
      </c>
      <c r="I49" s="104">
        <f t="shared" si="1"/>
        <v>37189.35</v>
      </c>
      <c r="J49" s="93"/>
    </row>
    <row r="50" spans="1:10" ht="30" customHeight="1">
      <c r="A50" s="95">
        <v>47</v>
      </c>
      <c r="B50" s="130" t="s">
        <v>69</v>
      </c>
      <c r="C50" s="95" t="s">
        <v>84</v>
      </c>
      <c r="D50" s="95">
        <v>19</v>
      </c>
      <c r="E50" s="95" t="s">
        <v>32</v>
      </c>
      <c r="F50" s="95">
        <v>59493</v>
      </c>
      <c r="G50" s="96">
        <v>32.54</v>
      </c>
      <c r="H50" s="97">
        <v>1210</v>
      </c>
      <c r="I50" s="104">
        <f t="shared" si="1"/>
        <v>39373.4</v>
      </c>
      <c r="J50" s="93"/>
    </row>
    <row r="51" spans="1:10" ht="30" customHeight="1">
      <c r="A51" s="95">
        <v>48</v>
      </c>
      <c r="B51" s="130" t="s">
        <v>69</v>
      </c>
      <c r="C51" s="95" t="s">
        <v>84</v>
      </c>
      <c r="D51" s="95">
        <v>15</v>
      </c>
      <c r="E51" s="95" t="s">
        <v>83</v>
      </c>
      <c r="F51" s="95">
        <v>15468</v>
      </c>
      <c r="G51" s="96">
        <v>31.815000000000001</v>
      </c>
      <c r="H51" s="97">
        <v>1210</v>
      </c>
      <c r="I51" s="104">
        <f t="shared" si="1"/>
        <v>38496.15</v>
      </c>
      <c r="J51" s="93"/>
    </row>
    <row r="52" spans="1:10" ht="25.25" customHeight="1" thickBot="1">
      <c r="A52" s="98"/>
      <c r="B52" s="99"/>
      <c r="C52" s="100"/>
      <c r="D52" s="49"/>
      <c r="E52" s="49"/>
      <c r="F52" s="49"/>
      <c r="G52" s="101"/>
      <c r="H52" s="102"/>
      <c r="I52" s="103"/>
      <c r="J52" s="85"/>
    </row>
    <row r="53" spans="1:10" ht="2.4" customHeight="1"/>
    <row r="54" spans="1:10" ht="25.25" customHeight="1">
      <c r="G54" s="174">
        <f>SUM(G4:G53)</f>
        <v>1593.2799999999997</v>
      </c>
      <c r="I54" s="175">
        <f t="shared" ref="I54" si="2">SUM(I4:I53)</f>
        <v>1907052.4</v>
      </c>
    </row>
    <row r="55" spans="1:10" ht="25.25" customHeight="1"/>
    <row r="56" spans="1:10" ht="25.25" customHeight="1"/>
    <row r="57" spans="1:10" ht="25.25" customHeight="1"/>
    <row r="58" spans="1:10" ht="25.25" customHeight="1"/>
    <row r="59" spans="1:10" ht="25.25" customHeight="1"/>
    <row r="60" spans="1:10" ht="25.25" customHeight="1"/>
    <row r="61" spans="1:10" ht="25.25" customHeight="1"/>
    <row r="62" spans="1:10" ht="25.25" customHeight="1"/>
    <row r="63" spans="1:10" ht="25.25" customHeight="1"/>
    <row r="64" spans="1:10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  <row r="107" ht="25.25" customHeight="1"/>
    <row r="108" ht="25.25" customHeight="1"/>
    <row r="109" ht="25.25" customHeight="1"/>
    <row r="110" ht="25.25" customHeight="1"/>
    <row r="111" ht="25.25" customHeight="1"/>
    <row r="112" ht="25.25" customHeight="1"/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87AD-1B44-4AA4-87AF-B1447BCEBB68}">
  <dimension ref="A1:O54"/>
  <sheetViews>
    <sheetView rightToLeft="1" topLeftCell="A43" workbookViewId="0">
      <selection activeCell="B2" sqref="B2:E50"/>
    </sheetView>
  </sheetViews>
  <sheetFormatPr defaultRowHeight="14.5"/>
  <cols>
    <col min="2" max="2" width="12.6328125" customWidth="1"/>
    <col min="3" max="3" width="21.6328125" bestFit="1" customWidth="1"/>
    <col min="4" max="4" width="14.81640625" customWidth="1"/>
    <col min="5" max="5" width="14.90625" customWidth="1"/>
    <col min="6" max="6" width="18.6328125" bestFit="1" customWidth="1"/>
    <col min="7" max="7" width="12.1796875" customWidth="1"/>
    <col min="8" max="8" width="13.1796875" customWidth="1"/>
    <col min="9" max="9" width="12.36328125" bestFit="1" customWidth="1"/>
    <col min="11" max="11" width="13.08984375" bestFit="1" customWidth="1"/>
    <col min="12" max="12" width="10.453125" bestFit="1" customWidth="1"/>
    <col min="13" max="13" width="16.453125" bestFit="1" customWidth="1"/>
    <col min="14" max="14" width="10.81640625" bestFit="1" customWidth="1"/>
  </cols>
  <sheetData>
    <row r="1" spans="1:15" ht="40.25" customHeight="1" thickBot="1">
      <c r="A1" s="182" t="s">
        <v>122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31"/>
    </row>
    <row r="2" spans="1:15" ht="33.65" customHeight="1" thickBot="1">
      <c r="A2" s="165" t="s">
        <v>0</v>
      </c>
      <c r="B2" s="166" t="s">
        <v>103</v>
      </c>
      <c r="C2" s="166" t="s">
        <v>27</v>
      </c>
      <c r="D2" s="167" t="s">
        <v>106</v>
      </c>
      <c r="E2" s="168" t="s">
        <v>112</v>
      </c>
      <c r="F2" s="169" t="s">
        <v>113</v>
      </c>
      <c r="G2" s="169" t="s">
        <v>114</v>
      </c>
      <c r="H2" s="169" t="s">
        <v>115</v>
      </c>
      <c r="I2" s="169" t="s">
        <v>116</v>
      </c>
      <c r="J2" s="170" t="s">
        <v>117</v>
      </c>
      <c r="K2" s="169" t="s">
        <v>118</v>
      </c>
      <c r="L2" s="171" t="s">
        <v>119</v>
      </c>
      <c r="M2" s="170" t="s">
        <v>120</v>
      </c>
      <c r="N2" s="172" t="s">
        <v>121</v>
      </c>
      <c r="O2" s="131"/>
    </row>
    <row r="3" spans="1:15" ht="25.25" customHeight="1">
      <c r="A3" s="156">
        <v>1</v>
      </c>
      <c r="B3" s="157" t="s">
        <v>37</v>
      </c>
      <c r="C3" s="158">
        <v>45917</v>
      </c>
      <c r="D3" s="159">
        <v>33.299999999999997</v>
      </c>
      <c r="E3" s="158">
        <v>600</v>
      </c>
      <c r="F3" s="158">
        <f t="shared" ref="F3:F50" si="0">D3*E3</f>
        <v>19980</v>
      </c>
      <c r="G3" s="159">
        <v>33.25</v>
      </c>
      <c r="H3" s="160">
        <f>D3-G3</f>
        <v>4.9999999999997158E-2</v>
      </c>
      <c r="I3" s="161">
        <v>0.02</v>
      </c>
      <c r="J3" s="161">
        <f>H3-I3</f>
        <v>2.9999999999997157E-2</v>
      </c>
      <c r="K3" s="162">
        <v>2159.9999999997954</v>
      </c>
      <c r="L3" s="163"/>
      <c r="M3" s="160">
        <f>F3-K3+L3</f>
        <v>17820.000000000204</v>
      </c>
      <c r="N3" s="164">
        <f>M3/65</f>
        <v>274.15384615384932</v>
      </c>
      <c r="O3" s="132"/>
    </row>
    <row r="4" spans="1:15" ht="30" customHeight="1">
      <c r="A4" s="133">
        <f>A3+1</f>
        <v>2</v>
      </c>
      <c r="B4" s="134" t="s">
        <v>37</v>
      </c>
      <c r="C4" s="135">
        <v>48446</v>
      </c>
      <c r="D4" s="136">
        <v>31.83</v>
      </c>
      <c r="E4" s="135">
        <v>600</v>
      </c>
      <c r="F4" s="135">
        <f t="shared" si="0"/>
        <v>19098</v>
      </c>
      <c r="G4" s="136">
        <v>31.81</v>
      </c>
      <c r="H4" s="137">
        <f t="shared" ref="H4:H50" si="1">D4-G4</f>
        <v>1.9999999999999574E-2</v>
      </c>
      <c r="I4" s="138">
        <v>0.02</v>
      </c>
      <c r="J4" s="138">
        <f t="shared" ref="J4:J50" si="2">H4-I4</f>
        <v>-4.2674197509029455E-16</v>
      </c>
      <c r="K4" s="154"/>
      <c r="L4" s="139"/>
      <c r="M4" s="137">
        <f t="shared" ref="M4:M50" si="3">F4-K4+L4</f>
        <v>19098</v>
      </c>
      <c r="N4" s="140">
        <f t="shared" ref="N4:N50" si="4">M4/65</f>
        <v>293.81538461538463</v>
      </c>
      <c r="O4" s="132"/>
    </row>
    <row r="5" spans="1:15" ht="30" customHeight="1">
      <c r="A5" s="133">
        <f t="shared" ref="A5:A50" si="5">A4+1</f>
        <v>3</v>
      </c>
      <c r="B5" s="134" t="s">
        <v>37</v>
      </c>
      <c r="C5" s="135">
        <v>33888</v>
      </c>
      <c r="D5" s="136">
        <v>30.7</v>
      </c>
      <c r="E5" s="135">
        <v>600</v>
      </c>
      <c r="F5" s="135">
        <f t="shared" si="0"/>
        <v>18420</v>
      </c>
      <c r="G5" s="136">
        <v>30.73</v>
      </c>
      <c r="H5" s="137">
        <f t="shared" si="1"/>
        <v>-3.0000000000001137E-2</v>
      </c>
      <c r="I5" s="138"/>
      <c r="J5" s="138"/>
      <c r="K5" s="154">
        <v>0</v>
      </c>
      <c r="L5" s="139"/>
      <c r="M5" s="137">
        <f t="shared" si="3"/>
        <v>18420</v>
      </c>
      <c r="N5" s="140">
        <f t="shared" si="4"/>
        <v>283.38461538461536</v>
      </c>
      <c r="O5" s="132"/>
    </row>
    <row r="6" spans="1:15" ht="30" customHeight="1">
      <c r="A6" s="133">
        <f t="shared" si="5"/>
        <v>4</v>
      </c>
      <c r="B6" s="134" t="s">
        <v>37</v>
      </c>
      <c r="C6" s="135">
        <v>575</v>
      </c>
      <c r="D6" s="136">
        <v>32.65</v>
      </c>
      <c r="E6" s="135">
        <v>600</v>
      </c>
      <c r="F6" s="135">
        <f t="shared" si="0"/>
        <v>19590</v>
      </c>
      <c r="G6" s="136">
        <v>32.729999999999997</v>
      </c>
      <c r="H6" s="137">
        <f t="shared" si="1"/>
        <v>-7.9999999999998295E-2</v>
      </c>
      <c r="I6" s="138"/>
      <c r="J6" s="138"/>
      <c r="K6" s="154">
        <v>0</v>
      </c>
      <c r="L6" s="139"/>
      <c r="M6" s="137">
        <f t="shared" si="3"/>
        <v>19590</v>
      </c>
      <c r="N6" s="140">
        <f t="shared" si="4"/>
        <v>301.38461538461536</v>
      </c>
      <c r="O6" s="132"/>
    </row>
    <row r="7" spans="1:15" ht="30" customHeight="1">
      <c r="A7" s="133">
        <f t="shared" si="5"/>
        <v>5</v>
      </c>
      <c r="B7" s="134" t="s">
        <v>37</v>
      </c>
      <c r="C7" s="135">
        <v>66886</v>
      </c>
      <c r="D7" s="136">
        <v>29.55</v>
      </c>
      <c r="E7" s="135">
        <v>600</v>
      </c>
      <c r="F7" s="135">
        <f t="shared" si="0"/>
        <v>17730</v>
      </c>
      <c r="G7" s="136">
        <v>29.52</v>
      </c>
      <c r="H7" s="137">
        <f t="shared" si="1"/>
        <v>3.0000000000001137E-2</v>
      </c>
      <c r="I7" s="138">
        <v>0.02</v>
      </c>
      <c r="J7" s="138">
        <f t="shared" si="2"/>
        <v>1.0000000000001136E-2</v>
      </c>
      <c r="K7" s="154">
        <v>720.00000000008185</v>
      </c>
      <c r="L7" s="139"/>
      <c r="M7" s="137">
        <f t="shared" si="3"/>
        <v>17009.99999999992</v>
      </c>
      <c r="N7" s="140">
        <f t="shared" si="4"/>
        <v>261.69230769230649</v>
      </c>
      <c r="O7" s="132"/>
    </row>
    <row r="8" spans="1:15" ht="30" customHeight="1">
      <c r="A8" s="133">
        <f t="shared" si="5"/>
        <v>6</v>
      </c>
      <c r="B8" s="134" t="s">
        <v>41</v>
      </c>
      <c r="C8" s="135">
        <v>9637</v>
      </c>
      <c r="D8" s="136">
        <v>36.450000000000003</v>
      </c>
      <c r="E8" s="135">
        <v>600</v>
      </c>
      <c r="F8" s="135">
        <f t="shared" si="0"/>
        <v>21870</v>
      </c>
      <c r="G8" s="136">
        <v>36.36</v>
      </c>
      <c r="H8" s="137">
        <f t="shared" si="1"/>
        <v>9.0000000000003411E-2</v>
      </c>
      <c r="I8" s="138">
        <v>0.02</v>
      </c>
      <c r="J8" s="138">
        <f t="shared" si="2"/>
        <v>7.0000000000003407E-2</v>
      </c>
      <c r="K8" s="154">
        <v>5040.0000000002456</v>
      </c>
      <c r="L8" s="139"/>
      <c r="M8" s="137">
        <f t="shared" si="3"/>
        <v>16829.999999999753</v>
      </c>
      <c r="N8" s="140">
        <f t="shared" si="4"/>
        <v>258.9230769230731</v>
      </c>
      <c r="O8" s="132"/>
    </row>
    <row r="9" spans="1:15" ht="30" customHeight="1">
      <c r="A9" s="133">
        <f t="shared" si="5"/>
        <v>7</v>
      </c>
      <c r="B9" s="134" t="s">
        <v>41</v>
      </c>
      <c r="C9" s="135">
        <v>38973</v>
      </c>
      <c r="D9" s="136">
        <v>35.6</v>
      </c>
      <c r="E9" s="135">
        <v>600</v>
      </c>
      <c r="F9" s="135">
        <f t="shared" si="0"/>
        <v>21360</v>
      </c>
      <c r="G9" s="136">
        <v>35.39</v>
      </c>
      <c r="H9" s="137">
        <f t="shared" si="1"/>
        <v>0.21000000000000085</v>
      </c>
      <c r="I9" s="138">
        <v>0.02</v>
      </c>
      <c r="J9" s="138">
        <f t="shared" si="2"/>
        <v>0.19000000000000086</v>
      </c>
      <c r="K9" s="154">
        <v>13680.000000000062</v>
      </c>
      <c r="L9" s="139">
        <v>2000</v>
      </c>
      <c r="M9" s="137">
        <f t="shared" si="3"/>
        <v>9679.9999999999382</v>
      </c>
      <c r="N9" s="140">
        <f t="shared" si="4"/>
        <v>148.92307692307597</v>
      </c>
      <c r="O9" s="132"/>
    </row>
    <row r="10" spans="1:15" ht="30" customHeight="1">
      <c r="A10" s="133">
        <f t="shared" si="5"/>
        <v>8</v>
      </c>
      <c r="B10" s="134" t="s">
        <v>41</v>
      </c>
      <c r="C10" s="135">
        <v>19757</v>
      </c>
      <c r="D10" s="136">
        <v>32</v>
      </c>
      <c r="E10" s="135">
        <v>600</v>
      </c>
      <c r="F10" s="135">
        <f t="shared" si="0"/>
        <v>19200</v>
      </c>
      <c r="G10" s="136">
        <v>31.96</v>
      </c>
      <c r="H10" s="137">
        <f t="shared" si="1"/>
        <v>3.9999999999999147E-2</v>
      </c>
      <c r="I10" s="138">
        <v>0.02</v>
      </c>
      <c r="J10" s="138">
        <f t="shared" si="2"/>
        <v>1.9999999999999147E-2</v>
      </c>
      <c r="K10" s="154">
        <v>1439.9999999999386</v>
      </c>
      <c r="L10" s="139">
        <v>3000</v>
      </c>
      <c r="M10" s="137">
        <f t="shared" si="3"/>
        <v>20760.000000000062</v>
      </c>
      <c r="N10" s="140">
        <f t="shared" si="4"/>
        <v>319.38461538461632</v>
      </c>
      <c r="O10" s="132"/>
    </row>
    <row r="11" spans="1:15" ht="30" customHeight="1">
      <c r="A11" s="133">
        <f t="shared" si="5"/>
        <v>9</v>
      </c>
      <c r="B11" s="134" t="s">
        <v>41</v>
      </c>
      <c r="C11" s="135">
        <v>63655</v>
      </c>
      <c r="D11" s="136">
        <v>31.85</v>
      </c>
      <c r="E11" s="135">
        <v>600</v>
      </c>
      <c r="F11" s="135">
        <f t="shared" si="0"/>
        <v>19110</v>
      </c>
      <c r="G11" s="136">
        <v>31.8</v>
      </c>
      <c r="H11" s="137">
        <f t="shared" si="1"/>
        <v>5.0000000000000711E-2</v>
      </c>
      <c r="I11" s="138">
        <v>0.02</v>
      </c>
      <c r="J11" s="138">
        <f t="shared" si="2"/>
        <v>3.000000000000071E-2</v>
      </c>
      <c r="K11" s="154">
        <v>2160.0000000000509</v>
      </c>
      <c r="L11" s="139"/>
      <c r="M11" s="137">
        <f t="shared" si="3"/>
        <v>16949.999999999949</v>
      </c>
      <c r="N11" s="140">
        <f t="shared" si="4"/>
        <v>260.76923076922998</v>
      </c>
      <c r="O11" s="132"/>
    </row>
    <row r="12" spans="1:15" ht="30" customHeight="1">
      <c r="A12" s="133">
        <f t="shared" si="5"/>
        <v>10</v>
      </c>
      <c r="B12" s="134" t="s">
        <v>41</v>
      </c>
      <c r="C12" s="135">
        <v>32562</v>
      </c>
      <c r="D12" s="136">
        <v>35.04</v>
      </c>
      <c r="E12" s="135">
        <v>600</v>
      </c>
      <c r="F12" s="135">
        <f t="shared" si="0"/>
        <v>21024</v>
      </c>
      <c r="G12" s="136">
        <v>35.020000000000003</v>
      </c>
      <c r="H12" s="137">
        <f t="shared" si="1"/>
        <v>1.9999999999996021E-2</v>
      </c>
      <c r="I12" s="138"/>
      <c r="J12" s="138"/>
      <c r="K12" s="154">
        <v>0</v>
      </c>
      <c r="L12" s="139"/>
      <c r="M12" s="137">
        <f t="shared" si="3"/>
        <v>21024</v>
      </c>
      <c r="N12" s="140">
        <f t="shared" si="4"/>
        <v>323.44615384615383</v>
      </c>
      <c r="O12" s="132"/>
    </row>
    <row r="13" spans="1:15" ht="30" customHeight="1">
      <c r="A13" s="133">
        <f t="shared" si="5"/>
        <v>11</v>
      </c>
      <c r="B13" s="134" t="s">
        <v>46</v>
      </c>
      <c r="C13" s="135">
        <v>6981</v>
      </c>
      <c r="D13" s="136">
        <v>33</v>
      </c>
      <c r="E13" s="135">
        <v>600</v>
      </c>
      <c r="F13" s="135">
        <f t="shared" si="0"/>
        <v>19800</v>
      </c>
      <c r="G13" s="136">
        <v>33.03</v>
      </c>
      <c r="H13" s="137">
        <f t="shared" si="1"/>
        <v>-3.0000000000001137E-2</v>
      </c>
      <c r="I13" s="138"/>
      <c r="J13" s="138"/>
      <c r="K13" s="154">
        <v>0</v>
      </c>
      <c r="L13" s="139">
        <v>1000</v>
      </c>
      <c r="M13" s="137">
        <f t="shared" si="3"/>
        <v>20800</v>
      </c>
      <c r="N13" s="140">
        <f t="shared" si="4"/>
        <v>320</v>
      </c>
      <c r="O13" s="132"/>
    </row>
    <row r="14" spans="1:15" ht="30" customHeight="1">
      <c r="A14" s="133">
        <f t="shared" si="5"/>
        <v>12</v>
      </c>
      <c r="B14" s="134" t="s">
        <v>48</v>
      </c>
      <c r="C14" s="135">
        <v>36224</v>
      </c>
      <c r="D14" s="136">
        <v>31.9</v>
      </c>
      <c r="E14" s="135">
        <v>600</v>
      </c>
      <c r="F14" s="135">
        <f t="shared" si="0"/>
        <v>19140</v>
      </c>
      <c r="G14" s="136">
        <v>31.855</v>
      </c>
      <c r="H14" s="137">
        <f t="shared" si="1"/>
        <v>4.4999999999998153E-2</v>
      </c>
      <c r="I14" s="138">
        <v>0.02</v>
      </c>
      <c r="J14" s="138">
        <f t="shared" si="2"/>
        <v>2.4999999999998152E-2</v>
      </c>
      <c r="K14" s="154">
        <v>1799.999999999867</v>
      </c>
      <c r="L14" s="139">
        <v>1000</v>
      </c>
      <c r="M14" s="137">
        <f t="shared" si="3"/>
        <v>18340.000000000135</v>
      </c>
      <c r="N14" s="140">
        <f t="shared" si="4"/>
        <v>282.15384615384824</v>
      </c>
      <c r="O14" s="132"/>
    </row>
    <row r="15" spans="1:15" ht="30" customHeight="1">
      <c r="A15" s="133">
        <f t="shared" si="5"/>
        <v>13</v>
      </c>
      <c r="B15" s="134" t="s">
        <v>48</v>
      </c>
      <c r="C15" s="135">
        <v>45816</v>
      </c>
      <c r="D15" s="136">
        <v>34.97</v>
      </c>
      <c r="E15" s="135">
        <v>600</v>
      </c>
      <c r="F15" s="135">
        <f t="shared" si="0"/>
        <v>20982</v>
      </c>
      <c r="G15" s="136">
        <v>34.94</v>
      </c>
      <c r="H15" s="137">
        <f t="shared" si="1"/>
        <v>3.0000000000001137E-2</v>
      </c>
      <c r="I15" s="138">
        <v>0.02</v>
      </c>
      <c r="J15" s="138">
        <f t="shared" si="2"/>
        <v>1.0000000000001136E-2</v>
      </c>
      <c r="K15" s="154">
        <v>720.00000000008185</v>
      </c>
      <c r="L15" s="139"/>
      <c r="M15" s="137">
        <f t="shared" si="3"/>
        <v>20261.99999999992</v>
      </c>
      <c r="N15" s="140">
        <f t="shared" si="4"/>
        <v>311.72307692307567</v>
      </c>
      <c r="O15" s="132"/>
    </row>
    <row r="16" spans="1:15" ht="30" customHeight="1">
      <c r="A16" s="133">
        <f t="shared" si="5"/>
        <v>14</v>
      </c>
      <c r="B16" s="134" t="s">
        <v>48</v>
      </c>
      <c r="C16" s="135">
        <v>69192</v>
      </c>
      <c r="D16" s="136">
        <v>34.049999999999997</v>
      </c>
      <c r="E16" s="135">
        <v>600</v>
      </c>
      <c r="F16" s="135">
        <f t="shared" si="0"/>
        <v>20430</v>
      </c>
      <c r="G16" s="136">
        <v>33.96</v>
      </c>
      <c r="H16" s="137">
        <f t="shared" si="1"/>
        <v>8.9999999999996305E-2</v>
      </c>
      <c r="I16" s="138">
        <v>0.02</v>
      </c>
      <c r="J16" s="138">
        <f t="shared" si="2"/>
        <v>6.9999999999996301E-2</v>
      </c>
      <c r="K16" s="154">
        <v>5039.9999999997335</v>
      </c>
      <c r="L16" s="139">
        <v>2000</v>
      </c>
      <c r="M16" s="137">
        <f t="shared" si="3"/>
        <v>17390.000000000266</v>
      </c>
      <c r="N16" s="140">
        <f t="shared" si="4"/>
        <v>267.53846153846564</v>
      </c>
      <c r="O16" s="132"/>
    </row>
    <row r="17" spans="1:15" ht="30" customHeight="1">
      <c r="A17" s="133">
        <f t="shared" si="5"/>
        <v>15</v>
      </c>
      <c r="B17" s="134" t="s">
        <v>48</v>
      </c>
      <c r="C17" s="135">
        <v>45465</v>
      </c>
      <c r="D17" s="136">
        <v>31.4</v>
      </c>
      <c r="E17" s="135">
        <v>600</v>
      </c>
      <c r="F17" s="135">
        <f t="shared" si="0"/>
        <v>18840</v>
      </c>
      <c r="G17" s="136">
        <v>31.31</v>
      </c>
      <c r="H17" s="137">
        <f t="shared" si="1"/>
        <v>8.9999999999999858E-2</v>
      </c>
      <c r="I17" s="138">
        <v>0.02</v>
      </c>
      <c r="J17" s="138">
        <f t="shared" si="2"/>
        <v>6.9999999999999854E-2</v>
      </c>
      <c r="K17" s="154">
        <v>5039.9999999999891</v>
      </c>
      <c r="L17" s="139">
        <v>2000</v>
      </c>
      <c r="M17" s="137">
        <f t="shared" si="3"/>
        <v>15800.000000000011</v>
      </c>
      <c r="N17" s="140">
        <f t="shared" si="4"/>
        <v>243.07692307692324</v>
      </c>
      <c r="O17" s="132"/>
    </row>
    <row r="18" spans="1:15" ht="30" customHeight="1">
      <c r="A18" s="133">
        <f t="shared" si="5"/>
        <v>16</v>
      </c>
      <c r="B18" s="134" t="s">
        <v>48</v>
      </c>
      <c r="C18" s="135">
        <v>54586</v>
      </c>
      <c r="D18" s="136">
        <v>33.39</v>
      </c>
      <c r="E18" s="135">
        <v>600</v>
      </c>
      <c r="F18" s="135">
        <f t="shared" si="0"/>
        <v>20034</v>
      </c>
      <c r="G18" s="136">
        <v>33.380000000000003</v>
      </c>
      <c r="H18" s="137">
        <f t="shared" si="1"/>
        <v>9.9999999999980105E-3</v>
      </c>
      <c r="I18" s="138"/>
      <c r="J18" s="138"/>
      <c r="K18" s="154">
        <v>0</v>
      </c>
      <c r="L18" s="139"/>
      <c r="M18" s="137">
        <f t="shared" si="3"/>
        <v>20034</v>
      </c>
      <c r="N18" s="140">
        <f t="shared" si="4"/>
        <v>308.21538461538461</v>
      </c>
      <c r="O18" s="132"/>
    </row>
    <row r="19" spans="1:15" ht="30" customHeight="1">
      <c r="A19" s="133">
        <f t="shared" si="5"/>
        <v>17</v>
      </c>
      <c r="B19" s="134" t="s">
        <v>48</v>
      </c>
      <c r="C19" s="135">
        <v>96189</v>
      </c>
      <c r="D19" s="136">
        <v>31.35</v>
      </c>
      <c r="E19" s="135">
        <v>600</v>
      </c>
      <c r="F19" s="135">
        <f t="shared" si="0"/>
        <v>18810</v>
      </c>
      <c r="G19" s="136">
        <v>31.28</v>
      </c>
      <c r="H19" s="137">
        <f t="shared" si="1"/>
        <v>7.0000000000000284E-2</v>
      </c>
      <c r="I19" s="138">
        <v>0.02</v>
      </c>
      <c r="J19" s="138">
        <f t="shared" si="2"/>
        <v>5.000000000000028E-2</v>
      </c>
      <c r="K19" s="154">
        <v>3600.00000000002</v>
      </c>
      <c r="L19" s="139"/>
      <c r="M19" s="137">
        <f t="shared" si="3"/>
        <v>15209.99999999998</v>
      </c>
      <c r="N19" s="140">
        <f t="shared" si="4"/>
        <v>233.99999999999969</v>
      </c>
      <c r="O19" s="132"/>
    </row>
    <row r="20" spans="1:15" ht="30" customHeight="1">
      <c r="A20" s="133">
        <f t="shared" si="5"/>
        <v>18</v>
      </c>
      <c r="B20" s="134" t="s">
        <v>54</v>
      </c>
      <c r="C20" s="135">
        <v>574</v>
      </c>
      <c r="D20" s="136">
        <v>33.93</v>
      </c>
      <c r="E20" s="135">
        <v>600</v>
      </c>
      <c r="F20" s="135">
        <f t="shared" si="0"/>
        <v>20358</v>
      </c>
      <c r="G20" s="136">
        <v>33.81</v>
      </c>
      <c r="H20" s="137">
        <f t="shared" si="1"/>
        <v>0.11999999999999744</v>
      </c>
      <c r="I20" s="138">
        <v>0.02</v>
      </c>
      <c r="J20" s="138">
        <f t="shared" si="2"/>
        <v>9.9999999999997438E-2</v>
      </c>
      <c r="K20" s="154">
        <v>7199.9999999998154</v>
      </c>
      <c r="L20" s="139">
        <v>1000</v>
      </c>
      <c r="M20" s="137">
        <f t="shared" si="3"/>
        <v>14158.000000000186</v>
      </c>
      <c r="N20" s="140">
        <f t="shared" si="4"/>
        <v>217.81538461538747</v>
      </c>
      <c r="O20" s="132"/>
    </row>
    <row r="21" spans="1:15" ht="30" customHeight="1">
      <c r="A21" s="133">
        <f t="shared" si="5"/>
        <v>19</v>
      </c>
      <c r="B21" s="134" t="s">
        <v>55</v>
      </c>
      <c r="C21" s="135">
        <v>7144</v>
      </c>
      <c r="D21" s="136">
        <v>35.869999999999997</v>
      </c>
      <c r="E21" s="135">
        <v>600</v>
      </c>
      <c r="F21" s="135">
        <f t="shared" si="0"/>
        <v>21522</v>
      </c>
      <c r="G21" s="136">
        <v>35.68</v>
      </c>
      <c r="H21" s="137">
        <f t="shared" si="1"/>
        <v>0.18999999999999773</v>
      </c>
      <c r="I21" s="138">
        <v>0.02</v>
      </c>
      <c r="J21" s="138">
        <f t="shared" si="2"/>
        <v>0.16999999999999774</v>
      </c>
      <c r="K21" s="154">
        <v>12239.999999999836</v>
      </c>
      <c r="L21" s="139">
        <v>1000</v>
      </c>
      <c r="M21" s="137">
        <f t="shared" si="3"/>
        <v>10282.000000000164</v>
      </c>
      <c r="N21" s="140">
        <f t="shared" si="4"/>
        <v>158.1846153846179</v>
      </c>
      <c r="O21" s="132"/>
    </row>
    <row r="22" spans="1:15" ht="30" customHeight="1">
      <c r="A22" s="133">
        <f t="shared" si="5"/>
        <v>20</v>
      </c>
      <c r="B22" s="134" t="s">
        <v>55</v>
      </c>
      <c r="C22" s="135">
        <v>34716</v>
      </c>
      <c r="D22" s="136">
        <v>33.630000000000003</v>
      </c>
      <c r="E22" s="135">
        <v>600</v>
      </c>
      <c r="F22" s="135">
        <f t="shared" si="0"/>
        <v>20178</v>
      </c>
      <c r="G22" s="136">
        <v>33.61</v>
      </c>
      <c r="H22" s="137">
        <f t="shared" si="1"/>
        <v>2.0000000000003126E-2</v>
      </c>
      <c r="I22" s="138"/>
      <c r="J22" s="138"/>
      <c r="K22" s="154">
        <v>0</v>
      </c>
      <c r="L22" s="139">
        <v>1000</v>
      </c>
      <c r="M22" s="137">
        <f t="shared" si="3"/>
        <v>21178</v>
      </c>
      <c r="N22" s="140">
        <f t="shared" si="4"/>
        <v>325.81538461538463</v>
      </c>
      <c r="O22" s="132">
        <v>61</v>
      </c>
    </row>
    <row r="23" spans="1:15" ht="30" customHeight="1">
      <c r="A23" s="133">
        <f t="shared" si="5"/>
        <v>21</v>
      </c>
      <c r="B23" s="134" t="s">
        <v>55</v>
      </c>
      <c r="C23" s="135">
        <v>37828</v>
      </c>
      <c r="D23" s="136">
        <v>34.15</v>
      </c>
      <c r="E23" s="135">
        <v>600</v>
      </c>
      <c r="F23" s="135">
        <f t="shared" si="0"/>
        <v>20490</v>
      </c>
      <c r="G23" s="136">
        <v>34.159999999999997</v>
      </c>
      <c r="H23" s="137">
        <f t="shared" si="1"/>
        <v>-9.9999999999980105E-3</v>
      </c>
      <c r="I23" s="138"/>
      <c r="J23" s="138"/>
      <c r="K23" s="154">
        <v>0</v>
      </c>
      <c r="L23" s="139">
        <v>2000</v>
      </c>
      <c r="M23" s="137">
        <f t="shared" si="3"/>
        <v>22490</v>
      </c>
      <c r="N23" s="140">
        <f t="shared" si="4"/>
        <v>346</v>
      </c>
      <c r="O23" s="132"/>
    </row>
    <row r="24" spans="1:15" ht="30" customHeight="1">
      <c r="A24" s="133">
        <f t="shared" si="5"/>
        <v>22</v>
      </c>
      <c r="B24" s="134" t="s">
        <v>55</v>
      </c>
      <c r="C24" s="135">
        <v>4302</v>
      </c>
      <c r="D24" s="136">
        <v>36.08</v>
      </c>
      <c r="E24" s="135">
        <v>600</v>
      </c>
      <c r="F24" s="135">
        <f t="shared" si="0"/>
        <v>21648</v>
      </c>
      <c r="G24" s="136">
        <v>35.99</v>
      </c>
      <c r="H24" s="137">
        <f t="shared" si="1"/>
        <v>8.9999999999996305E-2</v>
      </c>
      <c r="I24" s="138">
        <v>0.02</v>
      </c>
      <c r="J24" s="138">
        <f t="shared" si="2"/>
        <v>6.9999999999996301E-2</v>
      </c>
      <c r="K24" s="154">
        <v>5039.9999999997335</v>
      </c>
      <c r="L24" s="139">
        <v>1000</v>
      </c>
      <c r="M24" s="137">
        <f t="shared" si="3"/>
        <v>17608.000000000266</v>
      </c>
      <c r="N24" s="140">
        <f t="shared" si="4"/>
        <v>270.89230769231176</v>
      </c>
      <c r="O24" s="132"/>
    </row>
    <row r="25" spans="1:15" ht="30" customHeight="1">
      <c r="A25" s="133">
        <f t="shared" si="5"/>
        <v>23</v>
      </c>
      <c r="B25" s="134" t="s">
        <v>55</v>
      </c>
      <c r="C25" s="135">
        <v>91294</v>
      </c>
      <c r="D25" s="136">
        <v>33.67</v>
      </c>
      <c r="E25" s="135">
        <v>600</v>
      </c>
      <c r="F25" s="135">
        <f t="shared" si="0"/>
        <v>20202</v>
      </c>
      <c r="G25" s="136">
        <v>33.590000000000003</v>
      </c>
      <c r="H25" s="137">
        <f t="shared" si="1"/>
        <v>7.9999999999998295E-2</v>
      </c>
      <c r="I25" s="138">
        <v>0.02</v>
      </c>
      <c r="J25" s="138">
        <f t="shared" si="2"/>
        <v>5.9999999999998291E-2</v>
      </c>
      <c r="K25" s="154">
        <v>4319.9999999998772</v>
      </c>
      <c r="L25" s="139"/>
      <c r="M25" s="137">
        <f t="shared" si="3"/>
        <v>15882.000000000124</v>
      </c>
      <c r="N25" s="140">
        <f t="shared" si="4"/>
        <v>244.33846153846343</v>
      </c>
      <c r="O25" s="132"/>
    </row>
    <row r="26" spans="1:15" ht="30" customHeight="1">
      <c r="A26" s="133">
        <f t="shared" si="5"/>
        <v>24</v>
      </c>
      <c r="B26" s="134" t="s">
        <v>61</v>
      </c>
      <c r="C26" s="135">
        <v>29423</v>
      </c>
      <c r="D26" s="136">
        <v>32.99</v>
      </c>
      <c r="E26" s="135">
        <v>600</v>
      </c>
      <c r="F26" s="135">
        <f t="shared" si="0"/>
        <v>19794</v>
      </c>
      <c r="G26" s="136">
        <v>32.975000000000001</v>
      </c>
      <c r="H26" s="137">
        <f t="shared" si="1"/>
        <v>1.5000000000000568E-2</v>
      </c>
      <c r="I26" s="138"/>
      <c r="J26" s="138"/>
      <c r="K26" s="154">
        <v>0</v>
      </c>
      <c r="L26" s="139"/>
      <c r="M26" s="137">
        <f t="shared" si="3"/>
        <v>19794</v>
      </c>
      <c r="N26" s="140">
        <f t="shared" si="4"/>
        <v>304.52307692307693</v>
      </c>
      <c r="O26" s="132"/>
    </row>
    <row r="27" spans="1:15" ht="30" customHeight="1">
      <c r="A27" s="133">
        <f t="shared" si="5"/>
        <v>25</v>
      </c>
      <c r="B27" s="134" t="s">
        <v>61</v>
      </c>
      <c r="C27" s="135">
        <v>34921</v>
      </c>
      <c r="D27" s="136">
        <v>34.200000000000003</v>
      </c>
      <c r="E27" s="135">
        <v>600</v>
      </c>
      <c r="F27" s="135">
        <f t="shared" si="0"/>
        <v>20520</v>
      </c>
      <c r="G27" s="136">
        <v>34.18</v>
      </c>
      <c r="H27" s="137">
        <f t="shared" si="1"/>
        <v>2.0000000000003126E-2</v>
      </c>
      <c r="I27" s="138"/>
      <c r="J27" s="138"/>
      <c r="K27" s="154">
        <v>0</v>
      </c>
      <c r="L27" s="139">
        <v>2000</v>
      </c>
      <c r="M27" s="137">
        <f t="shared" si="3"/>
        <v>22520</v>
      </c>
      <c r="N27" s="140">
        <f t="shared" si="4"/>
        <v>346.46153846153845</v>
      </c>
      <c r="O27" s="132"/>
    </row>
    <row r="28" spans="1:15" ht="30" customHeight="1">
      <c r="A28" s="133">
        <f t="shared" si="5"/>
        <v>26</v>
      </c>
      <c r="B28" s="134" t="s">
        <v>61</v>
      </c>
      <c r="C28" s="135">
        <v>48229</v>
      </c>
      <c r="D28" s="136">
        <v>36.1</v>
      </c>
      <c r="E28" s="135">
        <v>600</v>
      </c>
      <c r="F28" s="135">
        <f t="shared" si="0"/>
        <v>21660</v>
      </c>
      <c r="G28" s="136">
        <v>36.06</v>
      </c>
      <c r="H28" s="137">
        <f t="shared" si="1"/>
        <v>3.9999999999999147E-2</v>
      </c>
      <c r="I28" s="138">
        <v>0.02</v>
      </c>
      <c r="J28" s="138">
        <f t="shared" si="2"/>
        <v>1.9999999999999147E-2</v>
      </c>
      <c r="K28" s="154">
        <v>1439.9999999999386</v>
      </c>
      <c r="L28" s="139">
        <v>2000</v>
      </c>
      <c r="M28" s="137">
        <f t="shared" si="3"/>
        <v>22220.000000000062</v>
      </c>
      <c r="N28" s="140">
        <f t="shared" si="4"/>
        <v>341.84615384615478</v>
      </c>
      <c r="O28" s="132"/>
    </row>
    <row r="29" spans="1:15" ht="30" customHeight="1">
      <c r="A29" s="133">
        <f t="shared" si="5"/>
        <v>27</v>
      </c>
      <c r="B29" s="134" t="s">
        <v>61</v>
      </c>
      <c r="C29" s="135">
        <v>37694</v>
      </c>
      <c r="D29" s="136">
        <v>33.4</v>
      </c>
      <c r="E29" s="135">
        <v>600</v>
      </c>
      <c r="F29" s="135">
        <f t="shared" si="0"/>
        <v>20040</v>
      </c>
      <c r="G29" s="136">
        <v>33.31</v>
      </c>
      <c r="H29" s="137">
        <f t="shared" si="1"/>
        <v>8.9999999999996305E-2</v>
      </c>
      <c r="I29" s="138">
        <v>0.02</v>
      </c>
      <c r="J29" s="138">
        <f t="shared" si="2"/>
        <v>6.9999999999996301E-2</v>
      </c>
      <c r="K29" s="154">
        <v>5039.9999999997335</v>
      </c>
      <c r="L29" s="139">
        <v>2000</v>
      </c>
      <c r="M29" s="137">
        <f t="shared" si="3"/>
        <v>17000.000000000266</v>
      </c>
      <c r="N29" s="140">
        <f t="shared" si="4"/>
        <v>261.53846153846564</v>
      </c>
      <c r="O29" s="132"/>
    </row>
    <row r="30" spans="1:15" ht="30" customHeight="1">
      <c r="A30" s="133">
        <f t="shared" si="5"/>
        <v>28</v>
      </c>
      <c r="B30" s="134" t="s">
        <v>61</v>
      </c>
      <c r="C30" s="135">
        <v>37697</v>
      </c>
      <c r="D30" s="136">
        <v>35.08</v>
      </c>
      <c r="E30" s="135">
        <v>600</v>
      </c>
      <c r="F30" s="135">
        <f t="shared" si="0"/>
        <v>21048</v>
      </c>
      <c r="G30" s="136">
        <v>35.03</v>
      </c>
      <c r="H30" s="137">
        <f t="shared" si="1"/>
        <v>4.9999999999997158E-2</v>
      </c>
      <c r="I30" s="138">
        <v>0.02</v>
      </c>
      <c r="J30" s="138">
        <f t="shared" si="2"/>
        <v>2.9999999999997157E-2</v>
      </c>
      <c r="K30" s="154">
        <v>2159.9999999997954</v>
      </c>
      <c r="L30" s="139"/>
      <c r="M30" s="137">
        <f t="shared" si="3"/>
        <v>18888.000000000204</v>
      </c>
      <c r="N30" s="140">
        <f t="shared" si="4"/>
        <v>290.58461538461853</v>
      </c>
      <c r="O30" s="132"/>
    </row>
    <row r="31" spans="1:15" ht="30" customHeight="1">
      <c r="A31" s="133">
        <f t="shared" si="5"/>
        <v>29</v>
      </c>
      <c r="B31" s="134" t="s">
        <v>61</v>
      </c>
      <c r="C31" s="135">
        <v>33389</v>
      </c>
      <c r="D31" s="136">
        <v>28.51</v>
      </c>
      <c r="E31" s="135">
        <v>600</v>
      </c>
      <c r="F31" s="135">
        <f t="shared" si="0"/>
        <v>17106</v>
      </c>
      <c r="G31" s="136">
        <v>28.5</v>
      </c>
      <c r="H31" s="137">
        <f t="shared" si="1"/>
        <v>1.0000000000001563E-2</v>
      </c>
      <c r="I31" s="138"/>
      <c r="J31" s="138"/>
      <c r="K31" s="154">
        <v>0</v>
      </c>
      <c r="L31" s="139"/>
      <c r="M31" s="137">
        <f t="shared" si="3"/>
        <v>17106</v>
      </c>
      <c r="N31" s="140">
        <f t="shared" si="4"/>
        <v>263.16923076923075</v>
      </c>
      <c r="O31" s="132"/>
    </row>
    <row r="32" spans="1:15" ht="30" customHeight="1">
      <c r="A32" s="133">
        <f t="shared" si="5"/>
        <v>30</v>
      </c>
      <c r="B32" s="134" t="s">
        <v>61</v>
      </c>
      <c r="C32" s="135">
        <v>35991</v>
      </c>
      <c r="D32" s="136">
        <v>33</v>
      </c>
      <c r="E32" s="135">
        <v>600</v>
      </c>
      <c r="F32" s="135">
        <f t="shared" si="0"/>
        <v>19800</v>
      </c>
      <c r="G32" s="136">
        <v>32.97</v>
      </c>
      <c r="H32" s="137">
        <f t="shared" si="1"/>
        <v>3.0000000000001137E-2</v>
      </c>
      <c r="I32" s="138">
        <v>0.02</v>
      </c>
      <c r="J32" s="138">
        <f t="shared" si="2"/>
        <v>1.0000000000001136E-2</v>
      </c>
      <c r="K32" s="154">
        <v>720.00000000008185</v>
      </c>
      <c r="L32" s="139"/>
      <c r="M32" s="137">
        <f t="shared" si="3"/>
        <v>19079.99999999992</v>
      </c>
      <c r="N32" s="140">
        <f t="shared" si="4"/>
        <v>293.5384615384603</v>
      </c>
      <c r="O32" s="132"/>
    </row>
    <row r="33" spans="1:15" ht="30" customHeight="1">
      <c r="A33" s="133">
        <f t="shared" si="5"/>
        <v>31</v>
      </c>
      <c r="B33" s="134" t="s">
        <v>61</v>
      </c>
      <c r="C33" s="135">
        <v>71521</v>
      </c>
      <c r="D33" s="136">
        <v>32.14</v>
      </c>
      <c r="E33" s="135">
        <v>600</v>
      </c>
      <c r="F33" s="135">
        <f t="shared" si="0"/>
        <v>19284</v>
      </c>
      <c r="G33" s="136">
        <v>32.119999999999997</v>
      </c>
      <c r="H33" s="137">
        <f t="shared" si="1"/>
        <v>2.0000000000003126E-2</v>
      </c>
      <c r="I33" s="138"/>
      <c r="J33" s="138"/>
      <c r="K33" s="154"/>
      <c r="L33" s="139">
        <v>1000</v>
      </c>
      <c r="M33" s="137">
        <f t="shared" si="3"/>
        <v>20284</v>
      </c>
      <c r="N33" s="140">
        <f t="shared" si="4"/>
        <v>312.06153846153848</v>
      </c>
      <c r="O33" s="132"/>
    </row>
    <row r="34" spans="1:15" ht="30" customHeight="1">
      <c r="A34" s="133">
        <f t="shared" si="5"/>
        <v>32</v>
      </c>
      <c r="B34" s="134" t="s">
        <v>69</v>
      </c>
      <c r="C34" s="135">
        <v>42553</v>
      </c>
      <c r="D34" s="136">
        <v>35.159999999999997</v>
      </c>
      <c r="E34" s="135">
        <v>600</v>
      </c>
      <c r="F34" s="135">
        <f t="shared" si="0"/>
        <v>21095.999999999996</v>
      </c>
      <c r="G34" s="136">
        <v>35.145000000000003</v>
      </c>
      <c r="H34" s="137">
        <f t="shared" si="1"/>
        <v>1.4999999999993463E-2</v>
      </c>
      <c r="I34" s="138"/>
      <c r="J34" s="138"/>
      <c r="K34" s="154">
        <v>0</v>
      </c>
      <c r="L34" s="139"/>
      <c r="M34" s="137">
        <f t="shared" si="3"/>
        <v>21095.999999999996</v>
      </c>
      <c r="N34" s="140">
        <f t="shared" si="4"/>
        <v>324.55384615384611</v>
      </c>
      <c r="O34" s="132"/>
    </row>
    <row r="35" spans="1:15" ht="30" customHeight="1">
      <c r="A35" s="133">
        <f t="shared" si="5"/>
        <v>33</v>
      </c>
      <c r="B35" s="134" t="s">
        <v>69</v>
      </c>
      <c r="C35" s="135">
        <v>37269</v>
      </c>
      <c r="D35" s="136">
        <v>34.9</v>
      </c>
      <c r="E35" s="135">
        <v>600</v>
      </c>
      <c r="F35" s="135">
        <f t="shared" si="0"/>
        <v>20940</v>
      </c>
      <c r="G35" s="136">
        <v>34.844999999999999</v>
      </c>
      <c r="H35" s="137">
        <f t="shared" si="1"/>
        <v>5.4999999999999716E-2</v>
      </c>
      <c r="I35" s="138">
        <v>0.02</v>
      </c>
      <c r="J35" s="138">
        <f t="shared" si="2"/>
        <v>3.4999999999999712E-2</v>
      </c>
      <c r="K35" s="154">
        <v>2519.9999999999791</v>
      </c>
      <c r="L35" s="139"/>
      <c r="M35" s="137">
        <f t="shared" si="3"/>
        <v>18420.000000000022</v>
      </c>
      <c r="N35" s="140">
        <f t="shared" si="4"/>
        <v>283.3846153846157</v>
      </c>
      <c r="O35" s="132">
        <v>62</v>
      </c>
    </row>
    <row r="36" spans="1:15" ht="30" customHeight="1">
      <c r="A36" s="133">
        <f t="shared" si="5"/>
        <v>34</v>
      </c>
      <c r="B36" s="134" t="s">
        <v>69</v>
      </c>
      <c r="C36" s="135">
        <v>43842</v>
      </c>
      <c r="D36" s="136">
        <v>35.08</v>
      </c>
      <c r="E36" s="135">
        <v>600</v>
      </c>
      <c r="F36" s="135">
        <f t="shared" si="0"/>
        <v>21048</v>
      </c>
      <c r="G36" s="136">
        <v>35.07</v>
      </c>
      <c r="H36" s="137">
        <f t="shared" si="1"/>
        <v>9.9999999999980105E-3</v>
      </c>
      <c r="I36" s="138"/>
      <c r="J36" s="138"/>
      <c r="K36" s="154">
        <v>0</v>
      </c>
      <c r="L36" s="139"/>
      <c r="M36" s="137">
        <f t="shared" si="3"/>
        <v>21048</v>
      </c>
      <c r="N36" s="140">
        <f t="shared" si="4"/>
        <v>323.81538461538463</v>
      </c>
      <c r="O36" s="132"/>
    </row>
    <row r="37" spans="1:15" ht="30" customHeight="1">
      <c r="A37" s="133">
        <f t="shared" si="5"/>
        <v>35</v>
      </c>
      <c r="B37" s="134" t="s">
        <v>69</v>
      </c>
      <c r="C37" s="135">
        <v>21167</v>
      </c>
      <c r="D37" s="136">
        <v>32.549999999999997</v>
      </c>
      <c r="E37" s="135">
        <v>600</v>
      </c>
      <c r="F37" s="135">
        <f t="shared" si="0"/>
        <v>19530</v>
      </c>
      <c r="G37" s="136">
        <v>32.56</v>
      </c>
      <c r="H37" s="137">
        <f t="shared" si="1"/>
        <v>-1.0000000000005116E-2</v>
      </c>
      <c r="I37" s="138"/>
      <c r="J37" s="138"/>
      <c r="K37" s="154">
        <v>0</v>
      </c>
      <c r="L37" s="139"/>
      <c r="M37" s="137">
        <f t="shared" si="3"/>
        <v>19530</v>
      </c>
      <c r="N37" s="140">
        <f t="shared" si="4"/>
        <v>300.46153846153845</v>
      </c>
      <c r="O37" s="132"/>
    </row>
    <row r="38" spans="1:15" ht="30" customHeight="1">
      <c r="A38" s="133">
        <f t="shared" si="5"/>
        <v>36</v>
      </c>
      <c r="B38" s="134" t="s">
        <v>69</v>
      </c>
      <c r="C38" s="135">
        <v>29318</v>
      </c>
      <c r="D38" s="136">
        <v>39.25</v>
      </c>
      <c r="E38" s="135">
        <v>600</v>
      </c>
      <c r="F38" s="135">
        <f t="shared" si="0"/>
        <v>23550</v>
      </c>
      <c r="G38" s="136">
        <v>39.229999999999997</v>
      </c>
      <c r="H38" s="137">
        <f t="shared" si="1"/>
        <v>2.0000000000003126E-2</v>
      </c>
      <c r="I38" s="138"/>
      <c r="J38" s="138"/>
      <c r="K38" s="154">
        <v>0</v>
      </c>
      <c r="L38" s="139"/>
      <c r="M38" s="137">
        <f t="shared" si="3"/>
        <v>23550</v>
      </c>
      <c r="N38" s="140">
        <f t="shared" si="4"/>
        <v>362.30769230769232</v>
      </c>
      <c r="O38" s="132"/>
    </row>
    <row r="39" spans="1:15" ht="30" customHeight="1">
      <c r="A39" s="133">
        <f t="shared" si="5"/>
        <v>37</v>
      </c>
      <c r="B39" s="134" t="s">
        <v>69</v>
      </c>
      <c r="C39" s="135">
        <v>54893</v>
      </c>
      <c r="D39" s="136">
        <v>34.5</v>
      </c>
      <c r="E39" s="135">
        <v>600</v>
      </c>
      <c r="F39" s="135">
        <f t="shared" si="0"/>
        <v>20700</v>
      </c>
      <c r="G39" s="136">
        <v>34.47</v>
      </c>
      <c r="H39" s="137">
        <f t="shared" si="1"/>
        <v>3.0000000000001137E-2</v>
      </c>
      <c r="I39" s="138">
        <v>0.02</v>
      </c>
      <c r="J39" s="138">
        <f t="shared" si="2"/>
        <v>1.0000000000001136E-2</v>
      </c>
      <c r="K39" s="154">
        <v>720.00000000008185</v>
      </c>
      <c r="L39" s="139"/>
      <c r="M39" s="137">
        <f t="shared" si="3"/>
        <v>19979.99999999992</v>
      </c>
      <c r="N39" s="140">
        <f t="shared" si="4"/>
        <v>307.38461538461416</v>
      </c>
      <c r="O39" s="132"/>
    </row>
    <row r="40" spans="1:15" ht="30" customHeight="1">
      <c r="A40" s="133">
        <f t="shared" si="5"/>
        <v>38</v>
      </c>
      <c r="B40" s="134" t="s">
        <v>69</v>
      </c>
      <c r="C40" s="135">
        <v>41145</v>
      </c>
      <c r="D40" s="136">
        <v>35.97</v>
      </c>
      <c r="E40" s="135">
        <v>600</v>
      </c>
      <c r="F40" s="135">
        <f t="shared" si="0"/>
        <v>21582</v>
      </c>
      <c r="G40" s="136">
        <v>35.909999999999997</v>
      </c>
      <c r="H40" s="137">
        <f t="shared" si="1"/>
        <v>6.0000000000002274E-2</v>
      </c>
      <c r="I40" s="138">
        <v>0.02</v>
      </c>
      <c r="J40" s="138">
        <f t="shared" si="2"/>
        <v>4.000000000000227E-2</v>
      </c>
      <c r="K40" s="154">
        <v>2880.0000000001633</v>
      </c>
      <c r="L40" s="139"/>
      <c r="M40" s="137">
        <f t="shared" si="3"/>
        <v>18701.999999999836</v>
      </c>
      <c r="N40" s="140">
        <f t="shared" si="4"/>
        <v>287.72307692307442</v>
      </c>
      <c r="O40" s="132"/>
    </row>
    <row r="41" spans="1:15" ht="30" customHeight="1">
      <c r="A41" s="133">
        <f t="shared" si="5"/>
        <v>39</v>
      </c>
      <c r="B41" s="134" t="s">
        <v>69</v>
      </c>
      <c r="C41" s="135">
        <v>22594</v>
      </c>
      <c r="D41" s="136">
        <v>28.2</v>
      </c>
      <c r="E41" s="135">
        <v>600</v>
      </c>
      <c r="F41" s="135">
        <f t="shared" si="0"/>
        <v>16920</v>
      </c>
      <c r="G41" s="136">
        <v>28.14</v>
      </c>
      <c r="H41" s="137">
        <f t="shared" si="1"/>
        <v>5.9999999999998721E-2</v>
      </c>
      <c r="I41" s="138">
        <v>0.02</v>
      </c>
      <c r="J41" s="138">
        <f t="shared" si="2"/>
        <v>3.9999999999998717E-2</v>
      </c>
      <c r="K41" s="154">
        <v>2879.9999999999077</v>
      </c>
      <c r="L41" s="139"/>
      <c r="M41" s="137">
        <f t="shared" si="3"/>
        <v>14040.000000000093</v>
      </c>
      <c r="N41" s="140">
        <f t="shared" si="4"/>
        <v>216.00000000000142</v>
      </c>
      <c r="O41" s="132"/>
    </row>
    <row r="42" spans="1:15" ht="30" customHeight="1">
      <c r="A42" s="133">
        <f t="shared" si="5"/>
        <v>40</v>
      </c>
      <c r="B42" s="134" t="s">
        <v>69</v>
      </c>
      <c r="C42" s="135">
        <v>42535</v>
      </c>
      <c r="D42" s="136">
        <v>33.72</v>
      </c>
      <c r="E42" s="135">
        <v>600</v>
      </c>
      <c r="F42" s="135">
        <f t="shared" si="0"/>
        <v>20232</v>
      </c>
      <c r="G42" s="136">
        <v>33.704999999999998</v>
      </c>
      <c r="H42" s="137">
        <f t="shared" si="1"/>
        <v>1.5000000000000568E-2</v>
      </c>
      <c r="I42" s="138"/>
      <c r="J42" s="138"/>
      <c r="K42" s="154">
        <v>0</v>
      </c>
      <c r="L42" s="139"/>
      <c r="M42" s="137">
        <f t="shared" si="3"/>
        <v>20232</v>
      </c>
      <c r="N42" s="140">
        <f t="shared" si="4"/>
        <v>311.26153846153846</v>
      </c>
      <c r="O42" s="132"/>
    </row>
    <row r="43" spans="1:15" ht="30" customHeight="1">
      <c r="A43" s="133">
        <f t="shared" si="5"/>
        <v>41</v>
      </c>
      <c r="B43" s="134" t="s">
        <v>69</v>
      </c>
      <c r="C43" s="135">
        <v>31899</v>
      </c>
      <c r="D43" s="136">
        <v>32.78</v>
      </c>
      <c r="E43" s="135">
        <v>600</v>
      </c>
      <c r="F43" s="135">
        <f t="shared" si="0"/>
        <v>19668</v>
      </c>
      <c r="G43" s="136">
        <v>32.770000000000003</v>
      </c>
      <c r="H43" s="137">
        <f t="shared" si="1"/>
        <v>9.9999999999980105E-3</v>
      </c>
      <c r="I43" s="138"/>
      <c r="J43" s="138"/>
      <c r="K43" s="154">
        <v>0</v>
      </c>
      <c r="L43" s="139"/>
      <c r="M43" s="137">
        <f t="shared" si="3"/>
        <v>19668</v>
      </c>
      <c r="N43" s="140">
        <f t="shared" si="4"/>
        <v>302.5846153846154</v>
      </c>
      <c r="O43" s="132"/>
    </row>
    <row r="44" spans="1:15" ht="30" customHeight="1">
      <c r="A44" s="133">
        <f t="shared" si="5"/>
        <v>42</v>
      </c>
      <c r="B44" s="134" t="s">
        <v>69</v>
      </c>
      <c r="C44" s="135">
        <v>31252</v>
      </c>
      <c r="D44" s="136">
        <v>31.45</v>
      </c>
      <c r="E44" s="135">
        <v>600</v>
      </c>
      <c r="F44" s="135">
        <f t="shared" si="0"/>
        <v>18870</v>
      </c>
      <c r="G44" s="136">
        <v>31.43</v>
      </c>
      <c r="H44" s="137">
        <f t="shared" si="1"/>
        <v>1.9999999999999574E-2</v>
      </c>
      <c r="I44" s="138"/>
      <c r="J44" s="138"/>
      <c r="K44" s="154">
        <v>0</v>
      </c>
      <c r="L44" s="139"/>
      <c r="M44" s="137">
        <f t="shared" si="3"/>
        <v>18870</v>
      </c>
      <c r="N44" s="140">
        <f t="shared" si="4"/>
        <v>290.30769230769232</v>
      </c>
      <c r="O44" s="132"/>
    </row>
    <row r="45" spans="1:15" ht="30" customHeight="1">
      <c r="A45" s="133">
        <f t="shared" si="5"/>
        <v>43</v>
      </c>
      <c r="B45" s="134" t="s">
        <v>69</v>
      </c>
      <c r="C45" s="135">
        <v>38884</v>
      </c>
      <c r="D45" s="136">
        <v>30.15</v>
      </c>
      <c r="E45" s="135">
        <v>600</v>
      </c>
      <c r="F45" s="135">
        <f t="shared" si="0"/>
        <v>18090</v>
      </c>
      <c r="G45" s="136">
        <v>30.12</v>
      </c>
      <c r="H45" s="137">
        <f t="shared" si="1"/>
        <v>2.9999999999997584E-2</v>
      </c>
      <c r="I45" s="138">
        <v>0.02</v>
      </c>
      <c r="J45" s="138">
        <f t="shared" si="2"/>
        <v>9.9999999999975837E-3</v>
      </c>
      <c r="K45" s="154">
        <v>719.99999999982606</v>
      </c>
      <c r="L45" s="139"/>
      <c r="M45" s="137">
        <f t="shared" si="3"/>
        <v>17370.000000000175</v>
      </c>
      <c r="N45" s="140">
        <f t="shared" si="4"/>
        <v>267.2307692307719</v>
      </c>
      <c r="O45" s="132"/>
    </row>
    <row r="46" spans="1:15" ht="30" customHeight="1">
      <c r="A46" s="133">
        <f t="shared" si="5"/>
        <v>44</v>
      </c>
      <c r="B46" s="134" t="s">
        <v>69</v>
      </c>
      <c r="C46" s="135">
        <v>46479</v>
      </c>
      <c r="D46" s="136">
        <v>31.5</v>
      </c>
      <c r="E46" s="135">
        <v>600</v>
      </c>
      <c r="F46" s="135">
        <f t="shared" si="0"/>
        <v>18900</v>
      </c>
      <c r="G46" s="136">
        <v>31.47</v>
      </c>
      <c r="H46" s="137">
        <f t="shared" si="1"/>
        <v>3.0000000000001137E-2</v>
      </c>
      <c r="I46" s="138">
        <v>0.02</v>
      </c>
      <c r="J46" s="138">
        <f t="shared" si="2"/>
        <v>1.0000000000001136E-2</v>
      </c>
      <c r="K46" s="154">
        <v>720.00000000008185</v>
      </c>
      <c r="L46" s="139"/>
      <c r="M46" s="137">
        <f t="shared" si="3"/>
        <v>18179.99999999992</v>
      </c>
      <c r="N46" s="140">
        <f t="shared" si="4"/>
        <v>279.69230769230649</v>
      </c>
      <c r="O46" s="132"/>
    </row>
    <row r="47" spans="1:15" ht="30" customHeight="1">
      <c r="A47" s="133">
        <f t="shared" si="5"/>
        <v>45</v>
      </c>
      <c r="B47" s="134" t="s">
        <v>69</v>
      </c>
      <c r="C47" s="135">
        <v>29231</v>
      </c>
      <c r="D47" s="136">
        <v>33.049999999999997</v>
      </c>
      <c r="E47" s="135">
        <v>600</v>
      </c>
      <c r="F47" s="135">
        <f t="shared" si="0"/>
        <v>19830</v>
      </c>
      <c r="G47" s="136">
        <v>33.015000000000001</v>
      </c>
      <c r="H47" s="137">
        <f t="shared" si="1"/>
        <v>3.4999999999996589E-2</v>
      </c>
      <c r="I47" s="138">
        <v>0.02</v>
      </c>
      <c r="J47" s="138">
        <f t="shared" si="2"/>
        <v>1.4999999999996589E-2</v>
      </c>
      <c r="K47" s="154">
        <v>1079.9999999997544</v>
      </c>
      <c r="L47" s="139"/>
      <c r="M47" s="137">
        <f t="shared" si="3"/>
        <v>18750.000000000247</v>
      </c>
      <c r="N47" s="140">
        <f t="shared" si="4"/>
        <v>288.46153846154226</v>
      </c>
      <c r="O47" s="132"/>
    </row>
    <row r="48" spans="1:15" ht="30" customHeight="1">
      <c r="A48" s="133">
        <f t="shared" si="5"/>
        <v>46</v>
      </c>
      <c r="B48" s="134" t="s">
        <v>69</v>
      </c>
      <c r="C48" s="135">
        <v>28571</v>
      </c>
      <c r="D48" s="136">
        <v>30.75</v>
      </c>
      <c r="E48" s="135">
        <v>600</v>
      </c>
      <c r="F48" s="135">
        <f t="shared" si="0"/>
        <v>18450</v>
      </c>
      <c r="G48" s="136">
        <v>30.734999999999999</v>
      </c>
      <c r="H48" s="137">
        <f t="shared" si="1"/>
        <v>1.5000000000000568E-2</v>
      </c>
      <c r="I48" s="138"/>
      <c r="J48" s="138"/>
      <c r="K48" s="154">
        <v>0</v>
      </c>
      <c r="L48" s="139"/>
      <c r="M48" s="137">
        <f t="shared" si="3"/>
        <v>18450</v>
      </c>
      <c r="N48" s="140">
        <f t="shared" si="4"/>
        <v>283.84615384615387</v>
      </c>
      <c r="O48" s="132"/>
    </row>
    <row r="49" spans="1:15" ht="30" customHeight="1">
      <c r="A49" s="133">
        <f t="shared" si="5"/>
        <v>47</v>
      </c>
      <c r="B49" s="134" t="s">
        <v>69</v>
      </c>
      <c r="C49" s="135">
        <v>59493</v>
      </c>
      <c r="D49" s="136">
        <v>32.64</v>
      </c>
      <c r="E49" s="135">
        <v>600</v>
      </c>
      <c r="F49" s="135">
        <f t="shared" si="0"/>
        <v>19584</v>
      </c>
      <c r="G49" s="136">
        <v>32.54</v>
      </c>
      <c r="H49" s="137">
        <f t="shared" si="1"/>
        <v>0.10000000000000142</v>
      </c>
      <c r="I49" s="138">
        <v>0.02</v>
      </c>
      <c r="J49" s="138">
        <f t="shared" si="2"/>
        <v>8.0000000000001417E-2</v>
      </c>
      <c r="K49" s="154">
        <v>5760.0000000001019</v>
      </c>
      <c r="L49" s="139"/>
      <c r="M49" s="137">
        <f t="shared" si="3"/>
        <v>13823.999999999898</v>
      </c>
      <c r="N49" s="140">
        <f t="shared" si="4"/>
        <v>212.6769230769215</v>
      </c>
      <c r="O49" s="132"/>
    </row>
    <row r="50" spans="1:15" ht="30" customHeight="1" thickBot="1">
      <c r="A50" s="141">
        <f t="shared" si="5"/>
        <v>48</v>
      </c>
      <c r="B50" s="142" t="s">
        <v>69</v>
      </c>
      <c r="C50" s="143">
        <v>15468</v>
      </c>
      <c r="D50" s="144">
        <v>31.84</v>
      </c>
      <c r="E50" s="143">
        <v>600</v>
      </c>
      <c r="F50" s="143">
        <f t="shared" si="0"/>
        <v>19104</v>
      </c>
      <c r="G50" s="144">
        <v>31.815000000000001</v>
      </c>
      <c r="H50" s="145">
        <f t="shared" si="1"/>
        <v>2.4999999999998579E-2</v>
      </c>
      <c r="I50" s="146">
        <v>0.02</v>
      </c>
      <c r="J50" s="146">
        <f t="shared" si="2"/>
        <v>4.9999999999985785E-3</v>
      </c>
      <c r="K50" s="155">
        <v>359.99999999989763</v>
      </c>
      <c r="L50" s="147"/>
      <c r="M50" s="145">
        <f t="shared" si="3"/>
        <v>18744.000000000102</v>
      </c>
      <c r="N50" s="148">
        <f t="shared" si="4"/>
        <v>288.36923076923233</v>
      </c>
      <c r="O50" s="132"/>
    </row>
    <row r="51" spans="1:15" ht="30" customHeight="1" thickBot="1">
      <c r="A51" s="149"/>
      <c r="B51" s="150"/>
      <c r="C51" s="150"/>
      <c r="D51" s="151"/>
      <c r="E51" s="150"/>
      <c r="F51" s="152">
        <f>SUM(F3:F50)</f>
        <v>957162</v>
      </c>
      <c r="G51" s="152">
        <f t="shared" ref="G51:M51" si="6">SUM(G3:G50)</f>
        <v>1593.2799999999997</v>
      </c>
      <c r="H51" s="152">
        <f t="shared" si="6"/>
        <v>1.9899999999999736</v>
      </c>
      <c r="I51" s="152">
        <f t="shared" si="6"/>
        <v>0.58000000000000018</v>
      </c>
      <c r="J51" s="152">
        <f t="shared" si="6"/>
        <v>1.3499999999999781</v>
      </c>
      <c r="K51" s="152">
        <f t="shared" si="6"/>
        <v>97199.999999998516</v>
      </c>
      <c r="L51" s="152">
        <f t="shared" si="6"/>
        <v>24000</v>
      </c>
      <c r="M51" s="152">
        <f t="shared" si="6"/>
        <v>883962.00000000151</v>
      </c>
      <c r="N51" s="153">
        <f>SUM(N3:N50)</f>
        <v>13599.415384615408</v>
      </c>
      <c r="O51" s="132"/>
    </row>
    <row r="54" spans="1:15">
      <c r="K54" s="121"/>
    </row>
  </sheetData>
  <mergeCells count="1">
    <mergeCell ref="A1:N1"/>
  </mergeCells>
  <conditionalFormatting sqref="C2">
    <cfRule type="duplicateValues" dxfId="16" priority="7"/>
    <cfRule type="duplicateValues" dxfId="15" priority="8"/>
    <cfRule type="duplicateValues" dxfId="14" priority="9"/>
  </conditionalFormatting>
  <conditionalFormatting sqref="C51">
    <cfRule type="duplicateValues" dxfId="13" priority="3"/>
  </conditionalFormatting>
  <conditionalFormatting sqref="J2:M2 C2 C51">
    <cfRule type="duplicateValues" dxfId="12" priority="1"/>
    <cfRule type="duplicateValues" dxfId="1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E29F-5465-4506-831A-B19D627A1051}">
  <dimension ref="A1:D49"/>
  <sheetViews>
    <sheetView tabSelected="1" workbookViewId="0">
      <selection sqref="A1:D49"/>
    </sheetView>
  </sheetViews>
  <sheetFormatPr defaultRowHeight="14.5"/>
  <sheetData>
    <row r="1" spans="1:4" ht="15" thickBot="1">
      <c r="A1" s="166" t="s">
        <v>103</v>
      </c>
      <c r="B1" s="166" t="s">
        <v>27</v>
      </c>
      <c r="C1" s="167" t="s">
        <v>106</v>
      </c>
      <c r="D1" s="168" t="s">
        <v>112</v>
      </c>
    </row>
    <row r="2" spans="1:4">
      <c r="A2" s="157" t="s">
        <v>37</v>
      </c>
      <c r="B2" s="158">
        <v>45917</v>
      </c>
      <c r="C2" s="159">
        <v>33.299999999999997</v>
      </c>
      <c r="D2" s="158">
        <v>600</v>
      </c>
    </row>
    <row r="3" spans="1:4">
      <c r="A3" s="134" t="s">
        <v>37</v>
      </c>
      <c r="B3" s="135">
        <v>48446</v>
      </c>
      <c r="C3" s="136">
        <v>31.83</v>
      </c>
      <c r="D3" s="135">
        <v>600</v>
      </c>
    </row>
    <row r="4" spans="1:4">
      <c r="A4" s="134" t="s">
        <v>37</v>
      </c>
      <c r="B4" s="135">
        <v>33888</v>
      </c>
      <c r="C4" s="136">
        <v>30.7</v>
      </c>
      <c r="D4" s="135">
        <v>600</v>
      </c>
    </row>
    <row r="5" spans="1:4">
      <c r="A5" s="134" t="s">
        <v>37</v>
      </c>
      <c r="B5" s="135">
        <v>575</v>
      </c>
      <c r="C5" s="136">
        <v>32.65</v>
      </c>
      <c r="D5" s="135">
        <v>600</v>
      </c>
    </row>
    <row r="6" spans="1:4">
      <c r="A6" s="134" t="s">
        <v>37</v>
      </c>
      <c r="B6" s="135">
        <v>66886</v>
      </c>
      <c r="C6" s="136">
        <v>29.55</v>
      </c>
      <c r="D6" s="135">
        <v>600</v>
      </c>
    </row>
    <row r="7" spans="1:4">
      <c r="A7" s="134" t="s">
        <v>41</v>
      </c>
      <c r="B7" s="135">
        <v>9637</v>
      </c>
      <c r="C7" s="136">
        <v>36.450000000000003</v>
      </c>
      <c r="D7" s="135">
        <v>600</v>
      </c>
    </row>
    <row r="8" spans="1:4">
      <c r="A8" s="134" t="s">
        <v>41</v>
      </c>
      <c r="B8" s="135">
        <v>38973</v>
      </c>
      <c r="C8" s="136">
        <v>35.6</v>
      </c>
      <c r="D8" s="135">
        <v>600</v>
      </c>
    </row>
    <row r="9" spans="1:4">
      <c r="A9" s="134" t="s">
        <v>41</v>
      </c>
      <c r="B9" s="135">
        <v>19757</v>
      </c>
      <c r="C9" s="136">
        <v>32</v>
      </c>
      <c r="D9" s="135">
        <v>600</v>
      </c>
    </row>
    <row r="10" spans="1:4">
      <c r="A10" s="134" t="s">
        <v>41</v>
      </c>
      <c r="B10" s="135">
        <v>63655</v>
      </c>
      <c r="C10" s="136">
        <v>31.85</v>
      </c>
      <c r="D10" s="135">
        <v>600</v>
      </c>
    </row>
    <row r="11" spans="1:4">
      <c r="A11" s="134" t="s">
        <v>41</v>
      </c>
      <c r="B11" s="135">
        <v>32562</v>
      </c>
      <c r="C11" s="136">
        <v>35.04</v>
      </c>
      <c r="D11" s="135">
        <v>600</v>
      </c>
    </row>
    <row r="12" spans="1:4">
      <c r="A12" s="134" t="s">
        <v>46</v>
      </c>
      <c r="B12" s="135">
        <v>6981</v>
      </c>
      <c r="C12" s="136">
        <v>33</v>
      </c>
      <c r="D12" s="135">
        <v>600</v>
      </c>
    </row>
    <row r="13" spans="1:4">
      <c r="A13" s="134" t="s">
        <v>48</v>
      </c>
      <c r="B13" s="135">
        <v>36224</v>
      </c>
      <c r="C13" s="136">
        <v>31.9</v>
      </c>
      <c r="D13" s="135">
        <v>600</v>
      </c>
    </row>
    <row r="14" spans="1:4">
      <c r="A14" s="134" t="s">
        <v>48</v>
      </c>
      <c r="B14" s="135">
        <v>45816</v>
      </c>
      <c r="C14" s="136">
        <v>34.97</v>
      </c>
      <c r="D14" s="135">
        <v>600</v>
      </c>
    </row>
    <row r="15" spans="1:4">
      <c r="A15" s="134" t="s">
        <v>48</v>
      </c>
      <c r="B15" s="135">
        <v>69192</v>
      </c>
      <c r="C15" s="136">
        <v>34.049999999999997</v>
      </c>
      <c r="D15" s="135">
        <v>600</v>
      </c>
    </row>
    <row r="16" spans="1:4">
      <c r="A16" s="134" t="s">
        <v>48</v>
      </c>
      <c r="B16" s="135">
        <v>45465</v>
      </c>
      <c r="C16" s="136">
        <v>31.4</v>
      </c>
      <c r="D16" s="135">
        <v>600</v>
      </c>
    </row>
    <row r="17" spans="1:4">
      <c r="A17" s="134" t="s">
        <v>48</v>
      </c>
      <c r="B17" s="135">
        <v>54586</v>
      </c>
      <c r="C17" s="136">
        <v>33.39</v>
      </c>
      <c r="D17" s="135">
        <v>600</v>
      </c>
    </row>
    <row r="18" spans="1:4">
      <c r="A18" s="134" t="s">
        <v>48</v>
      </c>
      <c r="B18" s="135">
        <v>96189</v>
      </c>
      <c r="C18" s="136">
        <v>31.35</v>
      </c>
      <c r="D18" s="135">
        <v>600</v>
      </c>
    </row>
    <row r="19" spans="1:4">
      <c r="A19" s="134" t="s">
        <v>54</v>
      </c>
      <c r="B19" s="135">
        <v>574</v>
      </c>
      <c r="C19" s="136">
        <v>33.93</v>
      </c>
      <c r="D19" s="135">
        <v>600</v>
      </c>
    </row>
    <row r="20" spans="1:4">
      <c r="A20" s="134" t="s">
        <v>55</v>
      </c>
      <c r="B20" s="135">
        <v>7144</v>
      </c>
      <c r="C20" s="136">
        <v>35.869999999999997</v>
      </c>
      <c r="D20" s="135">
        <v>600</v>
      </c>
    </row>
    <row r="21" spans="1:4">
      <c r="A21" s="134" t="s">
        <v>55</v>
      </c>
      <c r="B21" s="135">
        <v>34716</v>
      </c>
      <c r="C21" s="136">
        <v>33.630000000000003</v>
      </c>
      <c r="D21" s="135">
        <v>600</v>
      </c>
    </row>
    <row r="22" spans="1:4">
      <c r="A22" s="134" t="s">
        <v>55</v>
      </c>
      <c r="B22" s="135">
        <v>37828</v>
      </c>
      <c r="C22" s="136">
        <v>34.15</v>
      </c>
      <c r="D22" s="135">
        <v>600</v>
      </c>
    </row>
    <row r="23" spans="1:4">
      <c r="A23" s="134" t="s">
        <v>55</v>
      </c>
      <c r="B23" s="135">
        <v>4302</v>
      </c>
      <c r="C23" s="136">
        <v>36.08</v>
      </c>
      <c r="D23" s="135">
        <v>600</v>
      </c>
    </row>
    <row r="24" spans="1:4">
      <c r="A24" s="134" t="s">
        <v>55</v>
      </c>
      <c r="B24" s="135">
        <v>91294</v>
      </c>
      <c r="C24" s="136">
        <v>33.67</v>
      </c>
      <c r="D24" s="135">
        <v>600</v>
      </c>
    </row>
    <row r="25" spans="1:4">
      <c r="A25" s="134" t="s">
        <v>61</v>
      </c>
      <c r="B25" s="135">
        <v>29423</v>
      </c>
      <c r="C25" s="136">
        <v>32.99</v>
      </c>
      <c r="D25" s="135">
        <v>600</v>
      </c>
    </row>
    <row r="26" spans="1:4">
      <c r="A26" s="134" t="s">
        <v>61</v>
      </c>
      <c r="B26" s="135">
        <v>34921</v>
      </c>
      <c r="C26" s="136">
        <v>34.200000000000003</v>
      </c>
      <c r="D26" s="135">
        <v>600</v>
      </c>
    </row>
    <row r="27" spans="1:4">
      <c r="A27" s="134" t="s">
        <v>61</v>
      </c>
      <c r="B27" s="135">
        <v>48229</v>
      </c>
      <c r="C27" s="136">
        <v>36.1</v>
      </c>
      <c r="D27" s="135">
        <v>600</v>
      </c>
    </row>
    <row r="28" spans="1:4">
      <c r="A28" s="134" t="s">
        <v>61</v>
      </c>
      <c r="B28" s="135">
        <v>37694</v>
      </c>
      <c r="C28" s="136">
        <v>33.4</v>
      </c>
      <c r="D28" s="135">
        <v>600</v>
      </c>
    </row>
    <row r="29" spans="1:4">
      <c r="A29" s="134" t="s">
        <v>61</v>
      </c>
      <c r="B29" s="135">
        <v>37697</v>
      </c>
      <c r="C29" s="136">
        <v>35.08</v>
      </c>
      <c r="D29" s="135">
        <v>600</v>
      </c>
    </row>
    <row r="30" spans="1:4">
      <c r="A30" s="134" t="s">
        <v>61</v>
      </c>
      <c r="B30" s="135">
        <v>33389</v>
      </c>
      <c r="C30" s="136">
        <v>28.51</v>
      </c>
      <c r="D30" s="135">
        <v>600</v>
      </c>
    </row>
    <row r="31" spans="1:4">
      <c r="A31" s="134" t="s">
        <v>61</v>
      </c>
      <c r="B31" s="135">
        <v>35991</v>
      </c>
      <c r="C31" s="136">
        <v>33</v>
      </c>
      <c r="D31" s="135">
        <v>600</v>
      </c>
    </row>
    <row r="32" spans="1:4">
      <c r="A32" s="134" t="s">
        <v>61</v>
      </c>
      <c r="B32" s="135">
        <v>71521</v>
      </c>
      <c r="C32" s="136">
        <v>32.14</v>
      </c>
      <c r="D32" s="135">
        <v>600</v>
      </c>
    </row>
    <row r="33" spans="1:4">
      <c r="A33" s="134" t="s">
        <v>69</v>
      </c>
      <c r="B33" s="135">
        <v>42553</v>
      </c>
      <c r="C33" s="136">
        <v>35.159999999999997</v>
      </c>
      <c r="D33" s="135">
        <v>600</v>
      </c>
    </row>
    <row r="34" spans="1:4">
      <c r="A34" s="134" t="s">
        <v>69</v>
      </c>
      <c r="B34" s="135">
        <v>37269</v>
      </c>
      <c r="C34" s="136">
        <v>34.9</v>
      </c>
      <c r="D34" s="135">
        <v>600</v>
      </c>
    </row>
    <row r="35" spans="1:4">
      <c r="A35" s="134" t="s">
        <v>69</v>
      </c>
      <c r="B35" s="135">
        <v>43842</v>
      </c>
      <c r="C35" s="136">
        <v>35.08</v>
      </c>
      <c r="D35" s="135">
        <v>600</v>
      </c>
    </row>
    <row r="36" spans="1:4">
      <c r="A36" s="134" t="s">
        <v>69</v>
      </c>
      <c r="B36" s="135">
        <v>21167</v>
      </c>
      <c r="C36" s="136">
        <v>32.549999999999997</v>
      </c>
      <c r="D36" s="135">
        <v>600</v>
      </c>
    </row>
    <row r="37" spans="1:4">
      <c r="A37" s="134" t="s">
        <v>69</v>
      </c>
      <c r="B37" s="135">
        <v>29318</v>
      </c>
      <c r="C37" s="136">
        <v>39.25</v>
      </c>
      <c r="D37" s="135">
        <v>600</v>
      </c>
    </row>
    <row r="38" spans="1:4">
      <c r="A38" s="134" t="s">
        <v>69</v>
      </c>
      <c r="B38" s="135">
        <v>54893</v>
      </c>
      <c r="C38" s="136">
        <v>34.5</v>
      </c>
      <c r="D38" s="135">
        <v>600</v>
      </c>
    </row>
    <row r="39" spans="1:4">
      <c r="A39" s="134" t="s">
        <v>69</v>
      </c>
      <c r="B39" s="135">
        <v>41145</v>
      </c>
      <c r="C39" s="136">
        <v>35.97</v>
      </c>
      <c r="D39" s="135">
        <v>600</v>
      </c>
    </row>
    <row r="40" spans="1:4">
      <c r="A40" s="134" t="s">
        <v>69</v>
      </c>
      <c r="B40" s="135">
        <v>22594</v>
      </c>
      <c r="C40" s="136">
        <v>28.2</v>
      </c>
      <c r="D40" s="135">
        <v>600</v>
      </c>
    </row>
    <row r="41" spans="1:4">
      <c r="A41" s="134" t="s">
        <v>69</v>
      </c>
      <c r="B41" s="135">
        <v>42535</v>
      </c>
      <c r="C41" s="136">
        <v>33.72</v>
      </c>
      <c r="D41" s="135">
        <v>600</v>
      </c>
    </row>
    <row r="42" spans="1:4">
      <c r="A42" s="134" t="s">
        <v>69</v>
      </c>
      <c r="B42" s="135">
        <v>31899</v>
      </c>
      <c r="C42" s="136">
        <v>32.78</v>
      </c>
      <c r="D42" s="135">
        <v>600</v>
      </c>
    </row>
    <row r="43" spans="1:4">
      <c r="A43" s="134" t="s">
        <v>69</v>
      </c>
      <c r="B43" s="135">
        <v>31252</v>
      </c>
      <c r="C43" s="136">
        <v>31.45</v>
      </c>
      <c r="D43" s="135">
        <v>600</v>
      </c>
    </row>
    <row r="44" spans="1:4">
      <c r="A44" s="134" t="s">
        <v>69</v>
      </c>
      <c r="B44" s="135">
        <v>38884</v>
      </c>
      <c r="C44" s="136">
        <v>30.15</v>
      </c>
      <c r="D44" s="135">
        <v>600</v>
      </c>
    </row>
    <row r="45" spans="1:4">
      <c r="A45" s="134" t="s">
        <v>69</v>
      </c>
      <c r="B45" s="135">
        <v>46479</v>
      </c>
      <c r="C45" s="136">
        <v>31.5</v>
      </c>
      <c r="D45" s="135">
        <v>600</v>
      </c>
    </row>
    <row r="46" spans="1:4">
      <c r="A46" s="134" t="s">
        <v>69</v>
      </c>
      <c r="B46" s="135">
        <v>29231</v>
      </c>
      <c r="C46" s="136">
        <v>33.049999999999997</v>
      </c>
      <c r="D46" s="135">
        <v>600</v>
      </c>
    </row>
    <row r="47" spans="1:4">
      <c r="A47" s="134" t="s">
        <v>69</v>
      </c>
      <c r="B47" s="135">
        <v>28571</v>
      </c>
      <c r="C47" s="136">
        <v>30.75</v>
      </c>
      <c r="D47" s="135">
        <v>600</v>
      </c>
    </row>
    <row r="48" spans="1:4">
      <c r="A48" s="134" t="s">
        <v>69</v>
      </c>
      <c r="B48" s="135">
        <v>59493</v>
      </c>
      <c r="C48" s="136">
        <v>32.64</v>
      </c>
      <c r="D48" s="135">
        <v>600</v>
      </c>
    </row>
    <row r="49" spans="1:4" ht="15" thickBot="1">
      <c r="A49" s="142" t="s">
        <v>69</v>
      </c>
      <c r="B49" s="143">
        <v>15468</v>
      </c>
      <c r="C49" s="144">
        <v>31.84</v>
      </c>
      <c r="D49" s="143">
        <v>600</v>
      </c>
    </row>
  </sheetData>
  <conditionalFormatting sqref="B1">
    <cfRule type="duplicateValues" dxfId="4" priority="3"/>
    <cfRule type="duplicateValues" dxfId="3" priority="4"/>
    <cfRule type="duplicateValues" dxfId="2" priority="5"/>
  </conditionalFormatting>
  <conditionalFormatting sqref="B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69CE-CB57-4790-B593-4E8A12E4470F}">
  <dimension ref="A1:Q54"/>
  <sheetViews>
    <sheetView rightToLeft="1" topLeftCell="A37" workbookViewId="0">
      <selection activeCell="D51" sqref="D51"/>
    </sheetView>
  </sheetViews>
  <sheetFormatPr defaultRowHeight="14.5"/>
  <cols>
    <col min="2" max="2" width="12.6328125" customWidth="1"/>
    <col min="3" max="3" width="13.81640625" customWidth="1"/>
    <col min="4" max="4" width="11.36328125" customWidth="1"/>
    <col min="5" max="5" width="14.90625" customWidth="1"/>
    <col min="6" max="6" width="13.08984375" customWidth="1"/>
    <col min="7" max="7" width="12.1796875" customWidth="1"/>
    <col min="8" max="8" width="13.1796875" customWidth="1"/>
    <col min="9" max="9" width="15.08984375" bestFit="1" customWidth="1"/>
    <col min="10" max="10" width="12" customWidth="1"/>
    <col min="11" max="11" width="13.08984375" bestFit="1" customWidth="1"/>
    <col min="12" max="12" width="10.453125" bestFit="1" customWidth="1"/>
    <col min="13" max="14" width="10.453125" customWidth="1"/>
    <col min="15" max="15" width="16.453125" bestFit="1" customWidth="1"/>
    <col min="16" max="16" width="13.6328125" customWidth="1"/>
  </cols>
  <sheetData>
    <row r="1" spans="1:17" ht="40.25" customHeight="1" thickBot="1">
      <c r="A1" s="182" t="s">
        <v>122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31"/>
    </row>
    <row r="2" spans="1:17" ht="33.65" customHeight="1" thickBot="1">
      <c r="A2" s="165" t="s">
        <v>0</v>
      </c>
      <c r="B2" s="166" t="s">
        <v>103</v>
      </c>
      <c r="C2" s="166" t="s">
        <v>27</v>
      </c>
      <c r="D2" s="167" t="s">
        <v>106</v>
      </c>
      <c r="E2" s="168" t="s">
        <v>124</v>
      </c>
      <c r="F2" s="169" t="s">
        <v>125</v>
      </c>
      <c r="G2" s="169" t="s">
        <v>126</v>
      </c>
      <c r="H2" s="169" t="s">
        <v>127</v>
      </c>
      <c r="I2" s="169" t="s">
        <v>128</v>
      </c>
      <c r="J2" s="170" t="s">
        <v>129</v>
      </c>
      <c r="K2" s="169" t="s">
        <v>130</v>
      </c>
      <c r="L2" s="173" t="s">
        <v>131</v>
      </c>
      <c r="M2" s="173" t="s">
        <v>132</v>
      </c>
      <c r="N2" s="173" t="s">
        <v>133</v>
      </c>
      <c r="O2" s="170" t="s">
        <v>120</v>
      </c>
      <c r="P2" s="172" t="s">
        <v>121</v>
      </c>
      <c r="Q2" s="131"/>
    </row>
    <row r="3" spans="1:17" ht="25.25" customHeight="1">
      <c r="A3" s="156">
        <v>1</v>
      </c>
      <c r="B3" s="157" t="s">
        <v>37</v>
      </c>
      <c r="C3" s="158">
        <v>45917</v>
      </c>
      <c r="D3" s="159">
        <v>33.299999999999997</v>
      </c>
      <c r="E3" s="158">
        <f>D3*4943.59</f>
        <v>164621.54699999999</v>
      </c>
      <c r="F3" s="158">
        <f>D3*2400.97</f>
        <v>79952.300999999992</v>
      </c>
      <c r="G3" s="159">
        <v>300</v>
      </c>
      <c r="H3" s="160">
        <f>D3*463.16</f>
        <v>15423.227999999999</v>
      </c>
      <c r="I3" s="161">
        <f>D3*367.2</f>
        <v>12227.759999999998</v>
      </c>
      <c r="J3" s="161">
        <f>D3*240.1</f>
        <v>7995.329999999999</v>
      </c>
      <c r="K3" s="162">
        <f>D3*390</f>
        <v>12986.999999999998</v>
      </c>
      <c r="L3" s="163">
        <v>343.75</v>
      </c>
      <c r="M3" s="163">
        <v>200</v>
      </c>
      <c r="N3" s="163">
        <v>1500</v>
      </c>
      <c r="O3" s="160">
        <f>N3+M3+L3+K3+J3+I3+H3+G3+F3+E3</f>
        <v>295550.91599999997</v>
      </c>
      <c r="P3" s="164">
        <f>O3/65</f>
        <v>4546.9371692307686</v>
      </c>
      <c r="Q3" s="132"/>
    </row>
    <row r="4" spans="1:17" ht="30" customHeight="1">
      <c r="A4" s="133">
        <f>A3+1</f>
        <v>2</v>
      </c>
      <c r="B4" s="134" t="s">
        <v>37</v>
      </c>
      <c r="C4" s="135">
        <v>48446</v>
      </c>
      <c r="D4" s="136">
        <v>31.83</v>
      </c>
      <c r="E4" s="158">
        <f t="shared" ref="E4:E50" si="0">D4*4943.59</f>
        <v>157354.46969999999</v>
      </c>
      <c r="F4" s="158">
        <f t="shared" ref="F4:F50" si="1">D4*2400.97</f>
        <v>76422.87509999999</v>
      </c>
      <c r="G4" s="159">
        <v>300</v>
      </c>
      <c r="H4" s="160">
        <f t="shared" ref="H4:H50" si="2">D4*463.16</f>
        <v>14742.382799999999</v>
      </c>
      <c r="I4" s="161">
        <f t="shared" ref="I4:I50" si="3">D4*367.2</f>
        <v>11687.975999999999</v>
      </c>
      <c r="J4" s="161">
        <f t="shared" ref="J4:J50" si="4">D4*240.1</f>
        <v>7642.3829999999998</v>
      </c>
      <c r="K4" s="162">
        <f t="shared" ref="K4:K50" si="5">D4*390</f>
        <v>12413.699999999999</v>
      </c>
      <c r="L4" s="163">
        <v>343.75</v>
      </c>
      <c r="M4" s="163">
        <v>200</v>
      </c>
      <c r="N4" s="163">
        <v>1500</v>
      </c>
      <c r="O4" s="160">
        <f t="shared" ref="O4:O50" si="6">N4+M4+L4+K4+J4+I4+H4+G4+F4+E4</f>
        <v>282607.53659999999</v>
      </c>
      <c r="P4" s="140">
        <f>O4/65</f>
        <v>4347.8082553846152</v>
      </c>
      <c r="Q4" s="132"/>
    </row>
    <row r="5" spans="1:17" ht="30" customHeight="1">
      <c r="A5" s="133">
        <f t="shared" ref="A5:A50" si="7">A4+1</f>
        <v>3</v>
      </c>
      <c r="B5" s="134" t="s">
        <v>37</v>
      </c>
      <c r="C5" s="135">
        <v>33888</v>
      </c>
      <c r="D5" s="136">
        <v>30.7</v>
      </c>
      <c r="E5" s="158">
        <f t="shared" si="0"/>
        <v>151768.21299999999</v>
      </c>
      <c r="F5" s="158">
        <f t="shared" si="1"/>
        <v>73709.778999999995</v>
      </c>
      <c r="G5" s="159">
        <v>300</v>
      </c>
      <c r="H5" s="160">
        <f t="shared" si="2"/>
        <v>14219.012000000001</v>
      </c>
      <c r="I5" s="161">
        <f t="shared" si="3"/>
        <v>11273.039999999999</v>
      </c>
      <c r="J5" s="161">
        <f t="shared" si="4"/>
        <v>7371.07</v>
      </c>
      <c r="K5" s="162">
        <f t="shared" si="5"/>
        <v>11973</v>
      </c>
      <c r="L5" s="163">
        <v>343.75</v>
      </c>
      <c r="M5" s="163">
        <v>200</v>
      </c>
      <c r="N5" s="163">
        <v>1500</v>
      </c>
      <c r="O5" s="160">
        <f t="shared" si="6"/>
        <v>272657.864</v>
      </c>
      <c r="P5" s="140">
        <f t="shared" ref="P5:P50" si="8">O5/65</f>
        <v>4194.736369230769</v>
      </c>
      <c r="Q5" s="132"/>
    </row>
    <row r="6" spans="1:17" ht="30" customHeight="1">
      <c r="A6" s="133">
        <f t="shared" si="7"/>
        <v>4</v>
      </c>
      <c r="B6" s="134" t="s">
        <v>37</v>
      </c>
      <c r="C6" s="135">
        <v>575</v>
      </c>
      <c r="D6" s="136">
        <v>32.65</v>
      </c>
      <c r="E6" s="158">
        <f t="shared" si="0"/>
        <v>161408.21349999998</v>
      </c>
      <c r="F6" s="158">
        <f t="shared" si="1"/>
        <v>78391.670499999993</v>
      </c>
      <c r="G6" s="159">
        <v>300</v>
      </c>
      <c r="H6" s="160">
        <f t="shared" si="2"/>
        <v>15122.174000000001</v>
      </c>
      <c r="I6" s="161">
        <f t="shared" si="3"/>
        <v>11989.08</v>
      </c>
      <c r="J6" s="161">
        <f t="shared" si="4"/>
        <v>7839.2649999999994</v>
      </c>
      <c r="K6" s="162">
        <f t="shared" si="5"/>
        <v>12733.5</v>
      </c>
      <c r="L6" s="163">
        <v>343.75</v>
      </c>
      <c r="M6" s="163">
        <v>200</v>
      </c>
      <c r="N6" s="163">
        <v>1500</v>
      </c>
      <c r="O6" s="160">
        <f t="shared" si="6"/>
        <v>289827.65299999999</v>
      </c>
      <c r="P6" s="140">
        <f t="shared" si="8"/>
        <v>4458.886969230769</v>
      </c>
      <c r="Q6" s="132"/>
    </row>
    <row r="7" spans="1:17" ht="30" customHeight="1">
      <c r="A7" s="133">
        <f t="shared" si="7"/>
        <v>5</v>
      </c>
      <c r="B7" s="134" t="s">
        <v>37</v>
      </c>
      <c r="C7" s="135">
        <v>66886</v>
      </c>
      <c r="D7" s="136">
        <v>29.55</v>
      </c>
      <c r="E7" s="158">
        <f t="shared" si="0"/>
        <v>146083.0845</v>
      </c>
      <c r="F7" s="158">
        <f t="shared" si="1"/>
        <v>70948.663499999995</v>
      </c>
      <c r="G7" s="159">
        <v>300</v>
      </c>
      <c r="H7" s="160">
        <f t="shared" si="2"/>
        <v>13686.378000000001</v>
      </c>
      <c r="I7" s="161">
        <f t="shared" si="3"/>
        <v>10850.76</v>
      </c>
      <c r="J7" s="161">
        <f t="shared" si="4"/>
        <v>7094.9549999999999</v>
      </c>
      <c r="K7" s="162">
        <f t="shared" si="5"/>
        <v>11524.5</v>
      </c>
      <c r="L7" s="163">
        <v>343.75</v>
      </c>
      <c r="M7" s="163">
        <v>200</v>
      </c>
      <c r="N7" s="163">
        <v>1500</v>
      </c>
      <c r="O7" s="160">
        <f t="shared" si="6"/>
        <v>262532.09100000001</v>
      </c>
      <c r="P7" s="140">
        <f t="shared" si="8"/>
        <v>4038.9552461538465</v>
      </c>
      <c r="Q7" s="132"/>
    </row>
    <row r="8" spans="1:17" ht="30" customHeight="1">
      <c r="A8" s="133">
        <f t="shared" si="7"/>
        <v>6</v>
      </c>
      <c r="B8" s="134" t="s">
        <v>41</v>
      </c>
      <c r="C8" s="135">
        <v>9637</v>
      </c>
      <c r="D8" s="136">
        <v>36.450000000000003</v>
      </c>
      <c r="E8" s="158">
        <f t="shared" si="0"/>
        <v>180193.85550000001</v>
      </c>
      <c r="F8" s="158">
        <f t="shared" si="1"/>
        <v>87515.356499999994</v>
      </c>
      <c r="G8" s="159">
        <v>300</v>
      </c>
      <c r="H8" s="160">
        <f t="shared" si="2"/>
        <v>16882.182000000001</v>
      </c>
      <c r="I8" s="161">
        <f t="shared" si="3"/>
        <v>13384.44</v>
      </c>
      <c r="J8" s="161">
        <f t="shared" si="4"/>
        <v>8751.6450000000004</v>
      </c>
      <c r="K8" s="162">
        <f t="shared" si="5"/>
        <v>14215.500000000002</v>
      </c>
      <c r="L8" s="163">
        <v>343.75</v>
      </c>
      <c r="M8" s="163">
        <v>200</v>
      </c>
      <c r="N8" s="163">
        <v>1500</v>
      </c>
      <c r="O8" s="160">
        <f t="shared" si="6"/>
        <v>323286.72899999999</v>
      </c>
      <c r="P8" s="140">
        <f t="shared" si="8"/>
        <v>4973.6419846153849</v>
      </c>
      <c r="Q8" s="132"/>
    </row>
    <row r="9" spans="1:17" ht="30" customHeight="1">
      <c r="A9" s="133">
        <f t="shared" si="7"/>
        <v>7</v>
      </c>
      <c r="B9" s="134" t="s">
        <v>41</v>
      </c>
      <c r="C9" s="135">
        <v>38973</v>
      </c>
      <c r="D9" s="136">
        <v>35.6</v>
      </c>
      <c r="E9" s="158">
        <f t="shared" si="0"/>
        <v>175991.804</v>
      </c>
      <c r="F9" s="158">
        <f t="shared" si="1"/>
        <v>85474.531999999992</v>
      </c>
      <c r="G9" s="159">
        <v>300</v>
      </c>
      <c r="H9" s="160">
        <f t="shared" si="2"/>
        <v>16488.496000000003</v>
      </c>
      <c r="I9" s="161">
        <f t="shared" si="3"/>
        <v>13072.32</v>
      </c>
      <c r="J9" s="161">
        <f t="shared" si="4"/>
        <v>8547.56</v>
      </c>
      <c r="K9" s="162">
        <f t="shared" si="5"/>
        <v>13884</v>
      </c>
      <c r="L9" s="163">
        <v>343.75</v>
      </c>
      <c r="M9" s="163">
        <v>200</v>
      </c>
      <c r="N9" s="163">
        <v>1500</v>
      </c>
      <c r="O9" s="160">
        <f t="shared" si="6"/>
        <v>315802.462</v>
      </c>
      <c r="P9" s="140">
        <f t="shared" si="8"/>
        <v>4858.4994153846155</v>
      </c>
      <c r="Q9" s="132">
        <f>33*500</f>
        <v>16500</v>
      </c>
    </row>
    <row r="10" spans="1:17" ht="30" customHeight="1">
      <c r="A10" s="133">
        <f t="shared" si="7"/>
        <v>8</v>
      </c>
      <c r="B10" s="134" t="s">
        <v>41</v>
      </c>
      <c r="C10" s="135">
        <v>19757</v>
      </c>
      <c r="D10" s="136">
        <v>32</v>
      </c>
      <c r="E10" s="158">
        <f t="shared" si="0"/>
        <v>158194.88</v>
      </c>
      <c r="F10" s="158">
        <f t="shared" si="1"/>
        <v>76831.039999999994</v>
      </c>
      <c r="G10" s="159">
        <v>300</v>
      </c>
      <c r="H10" s="160">
        <f t="shared" si="2"/>
        <v>14821.12</v>
      </c>
      <c r="I10" s="161">
        <f t="shared" si="3"/>
        <v>11750.4</v>
      </c>
      <c r="J10" s="161">
        <f t="shared" si="4"/>
        <v>7683.2</v>
      </c>
      <c r="K10" s="162">
        <f t="shared" si="5"/>
        <v>12480</v>
      </c>
      <c r="L10" s="163">
        <v>343.75</v>
      </c>
      <c r="M10" s="163">
        <v>200</v>
      </c>
      <c r="N10" s="163">
        <v>1500</v>
      </c>
      <c r="O10" s="160">
        <f t="shared" si="6"/>
        <v>284104.39</v>
      </c>
      <c r="P10" s="140">
        <f t="shared" si="8"/>
        <v>4370.8367692307693</v>
      </c>
      <c r="Q10" s="132">
        <f>Q9/48</f>
        <v>343.75</v>
      </c>
    </row>
    <row r="11" spans="1:17" ht="30" customHeight="1">
      <c r="A11" s="133">
        <f t="shared" si="7"/>
        <v>9</v>
      </c>
      <c r="B11" s="134" t="s">
        <v>41</v>
      </c>
      <c r="C11" s="135">
        <v>63655</v>
      </c>
      <c r="D11" s="136">
        <v>31.85</v>
      </c>
      <c r="E11" s="158">
        <f t="shared" si="0"/>
        <v>157453.34150000001</v>
      </c>
      <c r="F11" s="158">
        <f t="shared" si="1"/>
        <v>76470.894499999995</v>
      </c>
      <c r="G11" s="159">
        <v>300</v>
      </c>
      <c r="H11" s="160">
        <f t="shared" si="2"/>
        <v>14751.646000000001</v>
      </c>
      <c r="I11" s="161">
        <f t="shared" si="3"/>
        <v>11695.32</v>
      </c>
      <c r="J11" s="161">
        <f t="shared" si="4"/>
        <v>7647.1850000000004</v>
      </c>
      <c r="K11" s="162">
        <f t="shared" si="5"/>
        <v>12421.5</v>
      </c>
      <c r="L11" s="163">
        <v>343.75</v>
      </c>
      <c r="M11" s="163">
        <v>200</v>
      </c>
      <c r="N11" s="163">
        <v>1500</v>
      </c>
      <c r="O11" s="160">
        <f t="shared" si="6"/>
        <v>282783.63699999999</v>
      </c>
      <c r="P11" s="140">
        <f t="shared" si="8"/>
        <v>4350.517492307692</v>
      </c>
      <c r="Q11" s="132"/>
    </row>
    <row r="12" spans="1:17" ht="30" customHeight="1">
      <c r="A12" s="133">
        <f t="shared" si="7"/>
        <v>10</v>
      </c>
      <c r="B12" s="134" t="s">
        <v>41</v>
      </c>
      <c r="C12" s="135">
        <v>32562</v>
      </c>
      <c r="D12" s="136">
        <v>35.04</v>
      </c>
      <c r="E12" s="158">
        <f t="shared" si="0"/>
        <v>173223.39360000001</v>
      </c>
      <c r="F12" s="158">
        <f t="shared" si="1"/>
        <v>84129.988799999992</v>
      </c>
      <c r="G12" s="159">
        <v>300</v>
      </c>
      <c r="H12" s="160">
        <f t="shared" si="2"/>
        <v>16229.126400000001</v>
      </c>
      <c r="I12" s="161">
        <f t="shared" si="3"/>
        <v>12866.688</v>
      </c>
      <c r="J12" s="161">
        <f t="shared" si="4"/>
        <v>8413.1039999999994</v>
      </c>
      <c r="K12" s="162">
        <f t="shared" si="5"/>
        <v>13665.6</v>
      </c>
      <c r="L12" s="163">
        <v>343.75</v>
      </c>
      <c r="M12" s="163">
        <v>200</v>
      </c>
      <c r="N12" s="163">
        <v>1500</v>
      </c>
      <c r="O12" s="160">
        <f t="shared" si="6"/>
        <v>310871.6508</v>
      </c>
      <c r="P12" s="140">
        <f t="shared" si="8"/>
        <v>4782.6407815384619</v>
      </c>
      <c r="Q12" s="132"/>
    </row>
    <row r="13" spans="1:17" ht="30" customHeight="1">
      <c r="A13" s="133">
        <f t="shared" si="7"/>
        <v>11</v>
      </c>
      <c r="B13" s="134" t="s">
        <v>46</v>
      </c>
      <c r="C13" s="135">
        <v>6981</v>
      </c>
      <c r="D13" s="136">
        <v>33</v>
      </c>
      <c r="E13" s="158">
        <f t="shared" si="0"/>
        <v>163138.47</v>
      </c>
      <c r="F13" s="158">
        <f t="shared" si="1"/>
        <v>79232.009999999995</v>
      </c>
      <c r="G13" s="159">
        <v>300</v>
      </c>
      <c r="H13" s="160">
        <f t="shared" si="2"/>
        <v>15284.28</v>
      </c>
      <c r="I13" s="161">
        <f t="shared" si="3"/>
        <v>12117.6</v>
      </c>
      <c r="J13" s="161">
        <f t="shared" si="4"/>
        <v>7923.3</v>
      </c>
      <c r="K13" s="162">
        <f t="shared" si="5"/>
        <v>12870</v>
      </c>
      <c r="L13" s="163">
        <v>343.75</v>
      </c>
      <c r="M13" s="163">
        <v>200</v>
      </c>
      <c r="N13" s="163">
        <v>1500</v>
      </c>
      <c r="O13" s="160">
        <f t="shared" si="6"/>
        <v>292909.41000000003</v>
      </c>
      <c r="P13" s="140">
        <f t="shared" si="8"/>
        <v>4506.2986153846159</v>
      </c>
      <c r="Q13" s="132"/>
    </row>
    <row r="14" spans="1:17" ht="30" customHeight="1">
      <c r="A14" s="133">
        <f t="shared" si="7"/>
        <v>12</v>
      </c>
      <c r="B14" s="134" t="s">
        <v>48</v>
      </c>
      <c r="C14" s="135">
        <v>36224</v>
      </c>
      <c r="D14" s="136">
        <v>31.9</v>
      </c>
      <c r="E14" s="158">
        <f t="shared" si="0"/>
        <v>157700.52100000001</v>
      </c>
      <c r="F14" s="158">
        <f t="shared" si="1"/>
        <v>76590.942999999985</v>
      </c>
      <c r="G14" s="159">
        <v>300</v>
      </c>
      <c r="H14" s="160">
        <f t="shared" si="2"/>
        <v>14774.804</v>
      </c>
      <c r="I14" s="161">
        <f t="shared" si="3"/>
        <v>11713.679999999998</v>
      </c>
      <c r="J14" s="161">
        <f t="shared" si="4"/>
        <v>7659.19</v>
      </c>
      <c r="K14" s="162">
        <f t="shared" si="5"/>
        <v>12441</v>
      </c>
      <c r="L14" s="163">
        <v>343.75</v>
      </c>
      <c r="M14" s="163">
        <v>200</v>
      </c>
      <c r="N14" s="163">
        <v>1500</v>
      </c>
      <c r="O14" s="160">
        <f t="shared" si="6"/>
        <v>283223.88799999998</v>
      </c>
      <c r="P14" s="140">
        <f t="shared" si="8"/>
        <v>4357.2905846153844</v>
      </c>
      <c r="Q14" s="132"/>
    </row>
    <row r="15" spans="1:17" ht="30" customHeight="1">
      <c r="A15" s="133">
        <f t="shared" si="7"/>
        <v>13</v>
      </c>
      <c r="B15" s="134" t="s">
        <v>48</v>
      </c>
      <c r="C15" s="135">
        <v>45816</v>
      </c>
      <c r="D15" s="136">
        <v>34.97</v>
      </c>
      <c r="E15" s="158">
        <f t="shared" si="0"/>
        <v>172877.34229999999</v>
      </c>
      <c r="F15" s="158">
        <f t="shared" si="1"/>
        <v>83961.920899999997</v>
      </c>
      <c r="G15" s="159">
        <v>300</v>
      </c>
      <c r="H15" s="160">
        <f t="shared" si="2"/>
        <v>16196.7052</v>
      </c>
      <c r="I15" s="161">
        <f t="shared" si="3"/>
        <v>12840.983999999999</v>
      </c>
      <c r="J15" s="161">
        <f t="shared" si="4"/>
        <v>8396.2969999999987</v>
      </c>
      <c r="K15" s="162">
        <f t="shared" si="5"/>
        <v>13638.3</v>
      </c>
      <c r="L15" s="163">
        <v>343.75</v>
      </c>
      <c r="M15" s="163">
        <v>200</v>
      </c>
      <c r="N15" s="163">
        <v>1500</v>
      </c>
      <c r="O15" s="160">
        <f t="shared" si="6"/>
        <v>310255.29940000002</v>
      </c>
      <c r="P15" s="140">
        <f t="shared" si="8"/>
        <v>4773.1584523076926</v>
      </c>
      <c r="Q15" s="132"/>
    </row>
    <row r="16" spans="1:17" ht="30" customHeight="1">
      <c r="A16" s="133">
        <f t="shared" si="7"/>
        <v>14</v>
      </c>
      <c r="B16" s="134" t="s">
        <v>48</v>
      </c>
      <c r="C16" s="135">
        <v>69192</v>
      </c>
      <c r="D16" s="136">
        <v>34.049999999999997</v>
      </c>
      <c r="E16" s="158">
        <f t="shared" si="0"/>
        <v>168329.2395</v>
      </c>
      <c r="F16" s="158">
        <f t="shared" si="1"/>
        <v>81753.028499999986</v>
      </c>
      <c r="G16" s="159">
        <v>300</v>
      </c>
      <c r="H16" s="160">
        <f t="shared" si="2"/>
        <v>15770.598</v>
      </c>
      <c r="I16" s="161">
        <f t="shared" si="3"/>
        <v>12503.159999999998</v>
      </c>
      <c r="J16" s="161">
        <f t="shared" si="4"/>
        <v>8175.4049999999988</v>
      </c>
      <c r="K16" s="162">
        <f t="shared" si="5"/>
        <v>13279.499999999998</v>
      </c>
      <c r="L16" s="163">
        <v>343.75</v>
      </c>
      <c r="M16" s="163">
        <v>200</v>
      </c>
      <c r="N16" s="163">
        <v>1500</v>
      </c>
      <c r="O16" s="160">
        <f t="shared" si="6"/>
        <v>302154.68099999998</v>
      </c>
      <c r="P16" s="140">
        <f t="shared" si="8"/>
        <v>4648.5335538461532</v>
      </c>
      <c r="Q16" s="132"/>
    </row>
    <row r="17" spans="1:17" ht="30" customHeight="1">
      <c r="A17" s="133">
        <f t="shared" si="7"/>
        <v>15</v>
      </c>
      <c r="B17" s="134" t="s">
        <v>48</v>
      </c>
      <c r="C17" s="135">
        <v>45465</v>
      </c>
      <c r="D17" s="136">
        <v>31.4</v>
      </c>
      <c r="E17" s="158">
        <f t="shared" si="0"/>
        <v>155228.726</v>
      </c>
      <c r="F17" s="158">
        <f t="shared" si="1"/>
        <v>75390.457999999984</v>
      </c>
      <c r="G17" s="159">
        <v>300</v>
      </c>
      <c r="H17" s="160">
        <f t="shared" si="2"/>
        <v>14543.224</v>
      </c>
      <c r="I17" s="161">
        <f t="shared" si="3"/>
        <v>11530.08</v>
      </c>
      <c r="J17" s="161">
        <f t="shared" si="4"/>
        <v>7539.1399999999994</v>
      </c>
      <c r="K17" s="162">
        <f t="shared" si="5"/>
        <v>12246</v>
      </c>
      <c r="L17" s="163">
        <v>343.75</v>
      </c>
      <c r="M17" s="163">
        <v>200</v>
      </c>
      <c r="N17" s="163">
        <v>1500</v>
      </c>
      <c r="O17" s="160">
        <f t="shared" si="6"/>
        <v>278821.37799999997</v>
      </c>
      <c r="P17" s="140">
        <f t="shared" si="8"/>
        <v>4289.5596615384611</v>
      </c>
      <c r="Q17" s="132"/>
    </row>
    <row r="18" spans="1:17" ht="30" customHeight="1">
      <c r="A18" s="133">
        <f t="shared" si="7"/>
        <v>16</v>
      </c>
      <c r="B18" s="134" t="s">
        <v>48</v>
      </c>
      <c r="C18" s="135">
        <v>54586</v>
      </c>
      <c r="D18" s="136">
        <v>33.39</v>
      </c>
      <c r="E18" s="158">
        <f t="shared" si="0"/>
        <v>165066.47010000001</v>
      </c>
      <c r="F18" s="158">
        <f t="shared" si="1"/>
        <v>80168.388299999991</v>
      </c>
      <c r="G18" s="159">
        <v>300</v>
      </c>
      <c r="H18" s="160">
        <f t="shared" si="2"/>
        <v>15464.912400000001</v>
      </c>
      <c r="I18" s="161">
        <f t="shared" si="3"/>
        <v>12260.807999999999</v>
      </c>
      <c r="J18" s="161">
        <f t="shared" si="4"/>
        <v>8016.9390000000003</v>
      </c>
      <c r="K18" s="162">
        <f t="shared" si="5"/>
        <v>13022.1</v>
      </c>
      <c r="L18" s="163">
        <v>343.75</v>
      </c>
      <c r="M18" s="163">
        <v>200</v>
      </c>
      <c r="N18" s="163">
        <v>1500</v>
      </c>
      <c r="O18" s="160">
        <f t="shared" si="6"/>
        <v>296343.36780000001</v>
      </c>
      <c r="P18" s="140">
        <f t="shared" si="8"/>
        <v>4559.1287353846155</v>
      </c>
      <c r="Q18" s="132"/>
    </row>
    <row r="19" spans="1:17" ht="30" customHeight="1">
      <c r="A19" s="133">
        <f t="shared" si="7"/>
        <v>17</v>
      </c>
      <c r="B19" s="134" t="s">
        <v>48</v>
      </c>
      <c r="C19" s="135">
        <v>96189</v>
      </c>
      <c r="D19" s="136">
        <v>31.35</v>
      </c>
      <c r="E19" s="158">
        <f t="shared" si="0"/>
        <v>154981.54650000003</v>
      </c>
      <c r="F19" s="158">
        <f t="shared" si="1"/>
        <v>75270.409499999994</v>
      </c>
      <c r="G19" s="159">
        <v>300</v>
      </c>
      <c r="H19" s="160">
        <f t="shared" si="2"/>
        <v>14520.066000000001</v>
      </c>
      <c r="I19" s="161">
        <f t="shared" si="3"/>
        <v>11511.72</v>
      </c>
      <c r="J19" s="161">
        <f t="shared" si="4"/>
        <v>7527.1350000000002</v>
      </c>
      <c r="K19" s="162">
        <f t="shared" si="5"/>
        <v>12226.5</v>
      </c>
      <c r="L19" s="163">
        <v>343.75</v>
      </c>
      <c r="M19" s="163">
        <v>200</v>
      </c>
      <c r="N19" s="163">
        <v>1500</v>
      </c>
      <c r="O19" s="160">
        <f t="shared" si="6"/>
        <v>278381.12700000004</v>
      </c>
      <c r="P19" s="140">
        <f t="shared" si="8"/>
        <v>4282.7865692307696</v>
      </c>
      <c r="Q19" s="132"/>
    </row>
    <row r="20" spans="1:17" ht="30" customHeight="1">
      <c r="A20" s="133">
        <f t="shared" si="7"/>
        <v>18</v>
      </c>
      <c r="B20" s="134" t="s">
        <v>54</v>
      </c>
      <c r="C20" s="135">
        <v>574</v>
      </c>
      <c r="D20" s="136">
        <v>33.93</v>
      </c>
      <c r="E20" s="158">
        <f t="shared" si="0"/>
        <v>167736.00870000001</v>
      </c>
      <c r="F20" s="158">
        <f t="shared" si="1"/>
        <v>81464.912099999987</v>
      </c>
      <c r="G20" s="159">
        <v>300</v>
      </c>
      <c r="H20" s="160">
        <f t="shared" si="2"/>
        <v>15715.0188</v>
      </c>
      <c r="I20" s="161">
        <f t="shared" si="3"/>
        <v>12459.096</v>
      </c>
      <c r="J20" s="161">
        <f t="shared" si="4"/>
        <v>8146.5929999999998</v>
      </c>
      <c r="K20" s="162">
        <f t="shared" si="5"/>
        <v>13232.7</v>
      </c>
      <c r="L20" s="163">
        <v>343.75</v>
      </c>
      <c r="M20" s="163">
        <v>200</v>
      </c>
      <c r="N20" s="163">
        <v>1500</v>
      </c>
      <c r="O20" s="160">
        <f t="shared" si="6"/>
        <v>301098.07860000001</v>
      </c>
      <c r="P20" s="140">
        <f t="shared" si="8"/>
        <v>4632.2781323076924</v>
      </c>
      <c r="Q20" s="132"/>
    </row>
    <row r="21" spans="1:17" ht="30" customHeight="1">
      <c r="A21" s="133">
        <f t="shared" si="7"/>
        <v>19</v>
      </c>
      <c r="B21" s="134" t="s">
        <v>55</v>
      </c>
      <c r="C21" s="135">
        <v>7144</v>
      </c>
      <c r="D21" s="136">
        <v>35.869999999999997</v>
      </c>
      <c r="E21" s="158">
        <f t="shared" si="0"/>
        <v>177326.57329999999</v>
      </c>
      <c r="F21" s="158">
        <f t="shared" si="1"/>
        <v>86122.79389999999</v>
      </c>
      <c r="G21" s="159">
        <v>300</v>
      </c>
      <c r="H21" s="160">
        <f t="shared" si="2"/>
        <v>16613.549200000001</v>
      </c>
      <c r="I21" s="161">
        <f t="shared" si="3"/>
        <v>13171.463999999998</v>
      </c>
      <c r="J21" s="161">
        <f t="shared" si="4"/>
        <v>8612.3869999999988</v>
      </c>
      <c r="K21" s="162">
        <f t="shared" si="5"/>
        <v>13989.3</v>
      </c>
      <c r="L21" s="163">
        <v>343.75</v>
      </c>
      <c r="M21" s="163">
        <v>200</v>
      </c>
      <c r="N21" s="163">
        <v>1500</v>
      </c>
      <c r="O21" s="160">
        <f t="shared" si="6"/>
        <v>318179.81739999994</v>
      </c>
      <c r="P21" s="140">
        <f t="shared" si="8"/>
        <v>4895.0741138461526</v>
      </c>
      <c r="Q21" s="132"/>
    </row>
    <row r="22" spans="1:17" ht="30" customHeight="1">
      <c r="A22" s="133">
        <f t="shared" si="7"/>
        <v>20</v>
      </c>
      <c r="B22" s="134" t="s">
        <v>55</v>
      </c>
      <c r="C22" s="135">
        <v>34716</v>
      </c>
      <c r="D22" s="136">
        <v>33.630000000000003</v>
      </c>
      <c r="E22" s="158">
        <f t="shared" si="0"/>
        <v>166252.93170000002</v>
      </c>
      <c r="F22" s="158">
        <f t="shared" si="1"/>
        <v>80744.621100000004</v>
      </c>
      <c r="G22" s="159">
        <v>300</v>
      </c>
      <c r="H22" s="160">
        <f t="shared" si="2"/>
        <v>15576.070800000001</v>
      </c>
      <c r="I22" s="161">
        <f t="shared" si="3"/>
        <v>12348.936</v>
      </c>
      <c r="J22" s="161">
        <f t="shared" si="4"/>
        <v>8074.5630000000001</v>
      </c>
      <c r="K22" s="162">
        <f t="shared" si="5"/>
        <v>13115.7</v>
      </c>
      <c r="L22" s="163">
        <v>343.75</v>
      </c>
      <c r="M22" s="163">
        <v>200</v>
      </c>
      <c r="N22" s="163">
        <v>1500</v>
      </c>
      <c r="O22" s="160">
        <f t="shared" si="6"/>
        <v>298456.57260000001</v>
      </c>
      <c r="P22" s="140">
        <f t="shared" si="8"/>
        <v>4591.6395784615388</v>
      </c>
      <c r="Q22" s="132">
        <v>61</v>
      </c>
    </row>
    <row r="23" spans="1:17" ht="30" customHeight="1">
      <c r="A23" s="133">
        <f t="shared" si="7"/>
        <v>21</v>
      </c>
      <c r="B23" s="134" t="s">
        <v>55</v>
      </c>
      <c r="C23" s="135">
        <v>37828</v>
      </c>
      <c r="D23" s="136">
        <v>34.15</v>
      </c>
      <c r="E23" s="158">
        <f t="shared" si="0"/>
        <v>168823.59849999999</v>
      </c>
      <c r="F23" s="158">
        <f t="shared" si="1"/>
        <v>81993.125499999995</v>
      </c>
      <c r="G23" s="159">
        <v>300</v>
      </c>
      <c r="H23" s="160">
        <f t="shared" si="2"/>
        <v>15816.914000000001</v>
      </c>
      <c r="I23" s="161">
        <f t="shared" si="3"/>
        <v>12539.88</v>
      </c>
      <c r="J23" s="161">
        <f t="shared" si="4"/>
        <v>8199.4149999999991</v>
      </c>
      <c r="K23" s="162">
        <f t="shared" si="5"/>
        <v>13318.5</v>
      </c>
      <c r="L23" s="163">
        <v>343.75</v>
      </c>
      <c r="M23" s="163">
        <v>200</v>
      </c>
      <c r="N23" s="163">
        <v>1500</v>
      </c>
      <c r="O23" s="160">
        <f t="shared" si="6"/>
        <v>303035.18299999996</v>
      </c>
      <c r="P23" s="140">
        <f t="shared" si="8"/>
        <v>4662.079738461538</v>
      </c>
      <c r="Q23" s="132"/>
    </row>
    <row r="24" spans="1:17" ht="30" customHeight="1">
      <c r="A24" s="133">
        <f t="shared" si="7"/>
        <v>22</v>
      </c>
      <c r="B24" s="134" t="s">
        <v>55</v>
      </c>
      <c r="C24" s="135">
        <v>4302</v>
      </c>
      <c r="D24" s="136">
        <v>36.08</v>
      </c>
      <c r="E24" s="158">
        <f t="shared" si="0"/>
        <v>178364.72719999999</v>
      </c>
      <c r="F24" s="158">
        <f t="shared" si="1"/>
        <v>86626.997599999988</v>
      </c>
      <c r="G24" s="159">
        <v>300</v>
      </c>
      <c r="H24" s="160">
        <f t="shared" si="2"/>
        <v>16710.8128</v>
      </c>
      <c r="I24" s="161">
        <f t="shared" si="3"/>
        <v>13248.575999999999</v>
      </c>
      <c r="J24" s="161">
        <f t="shared" si="4"/>
        <v>8662.8079999999991</v>
      </c>
      <c r="K24" s="162">
        <f t="shared" si="5"/>
        <v>14071.199999999999</v>
      </c>
      <c r="L24" s="163">
        <v>343.75</v>
      </c>
      <c r="M24" s="163">
        <v>200</v>
      </c>
      <c r="N24" s="163">
        <v>1500</v>
      </c>
      <c r="O24" s="160">
        <f t="shared" si="6"/>
        <v>320028.87159999995</v>
      </c>
      <c r="P24" s="140">
        <f t="shared" si="8"/>
        <v>4923.5211015384612</v>
      </c>
      <c r="Q24" s="132"/>
    </row>
    <row r="25" spans="1:17" ht="30" customHeight="1">
      <c r="A25" s="133">
        <f t="shared" si="7"/>
        <v>23</v>
      </c>
      <c r="B25" s="134" t="s">
        <v>55</v>
      </c>
      <c r="C25" s="135">
        <v>91294</v>
      </c>
      <c r="D25" s="136">
        <v>33.67</v>
      </c>
      <c r="E25" s="158">
        <f t="shared" si="0"/>
        <v>166450.6753</v>
      </c>
      <c r="F25" s="158">
        <f t="shared" si="1"/>
        <v>80840.659899999999</v>
      </c>
      <c r="G25" s="159">
        <v>300</v>
      </c>
      <c r="H25" s="160">
        <f t="shared" si="2"/>
        <v>15594.597200000002</v>
      </c>
      <c r="I25" s="161">
        <f t="shared" si="3"/>
        <v>12363.624</v>
      </c>
      <c r="J25" s="161">
        <f t="shared" si="4"/>
        <v>8084.1670000000004</v>
      </c>
      <c r="K25" s="162">
        <f t="shared" si="5"/>
        <v>13131.300000000001</v>
      </c>
      <c r="L25" s="163">
        <v>343.75</v>
      </c>
      <c r="M25" s="163">
        <v>200</v>
      </c>
      <c r="N25" s="163">
        <v>1500</v>
      </c>
      <c r="O25" s="160">
        <f t="shared" si="6"/>
        <v>298808.77340000001</v>
      </c>
      <c r="P25" s="140">
        <f t="shared" si="8"/>
        <v>4597.0580523076924</v>
      </c>
      <c r="Q25" s="132"/>
    </row>
    <row r="26" spans="1:17" ht="30" customHeight="1">
      <c r="A26" s="133">
        <f t="shared" si="7"/>
        <v>24</v>
      </c>
      <c r="B26" s="134" t="s">
        <v>61</v>
      </c>
      <c r="C26" s="135">
        <v>29423</v>
      </c>
      <c r="D26" s="136">
        <v>32.99</v>
      </c>
      <c r="E26" s="158">
        <f t="shared" si="0"/>
        <v>163089.03410000002</v>
      </c>
      <c r="F26" s="158">
        <f t="shared" si="1"/>
        <v>79208.0003</v>
      </c>
      <c r="G26" s="159">
        <v>300</v>
      </c>
      <c r="H26" s="160">
        <f t="shared" si="2"/>
        <v>15279.648400000002</v>
      </c>
      <c r="I26" s="161">
        <f t="shared" si="3"/>
        <v>12113.928</v>
      </c>
      <c r="J26" s="161">
        <f t="shared" si="4"/>
        <v>7920.8990000000003</v>
      </c>
      <c r="K26" s="162">
        <f t="shared" si="5"/>
        <v>12866.1</v>
      </c>
      <c r="L26" s="163">
        <v>343.75</v>
      </c>
      <c r="M26" s="163">
        <v>200</v>
      </c>
      <c r="N26" s="163">
        <v>1500</v>
      </c>
      <c r="O26" s="160">
        <f t="shared" si="6"/>
        <v>292821.35980000003</v>
      </c>
      <c r="P26" s="140">
        <f t="shared" si="8"/>
        <v>4504.9439969230771</v>
      </c>
      <c r="Q26" s="132"/>
    </row>
    <row r="27" spans="1:17" ht="30" customHeight="1">
      <c r="A27" s="133">
        <f t="shared" si="7"/>
        <v>25</v>
      </c>
      <c r="B27" s="134" t="s">
        <v>61</v>
      </c>
      <c r="C27" s="135">
        <v>34921</v>
      </c>
      <c r="D27" s="136">
        <v>34.200000000000003</v>
      </c>
      <c r="E27" s="158">
        <f t="shared" si="0"/>
        <v>169070.77800000002</v>
      </c>
      <c r="F27" s="158">
        <f t="shared" si="1"/>
        <v>82113.173999999999</v>
      </c>
      <c r="G27" s="159">
        <v>300</v>
      </c>
      <c r="H27" s="160">
        <f t="shared" si="2"/>
        <v>15840.072000000002</v>
      </c>
      <c r="I27" s="161">
        <f t="shared" si="3"/>
        <v>12558.24</v>
      </c>
      <c r="J27" s="161">
        <f t="shared" si="4"/>
        <v>8211.42</v>
      </c>
      <c r="K27" s="162">
        <f t="shared" si="5"/>
        <v>13338.000000000002</v>
      </c>
      <c r="L27" s="163">
        <v>343.75</v>
      </c>
      <c r="M27" s="163">
        <v>200</v>
      </c>
      <c r="N27" s="163">
        <v>1500</v>
      </c>
      <c r="O27" s="160">
        <f t="shared" si="6"/>
        <v>303475.43400000001</v>
      </c>
      <c r="P27" s="140">
        <f t="shared" si="8"/>
        <v>4668.8528307692313</v>
      </c>
      <c r="Q27" s="132"/>
    </row>
    <row r="28" spans="1:17" ht="30" customHeight="1">
      <c r="A28" s="133">
        <f t="shared" si="7"/>
        <v>26</v>
      </c>
      <c r="B28" s="134" t="s">
        <v>61</v>
      </c>
      <c r="C28" s="135">
        <v>48229</v>
      </c>
      <c r="D28" s="136">
        <v>36.1</v>
      </c>
      <c r="E28" s="158">
        <f t="shared" si="0"/>
        <v>178463.59900000002</v>
      </c>
      <c r="F28" s="158">
        <f t="shared" si="1"/>
        <v>86675.016999999993</v>
      </c>
      <c r="G28" s="159">
        <v>300</v>
      </c>
      <c r="H28" s="160">
        <f t="shared" si="2"/>
        <v>16720.076000000001</v>
      </c>
      <c r="I28" s="161">
        <f t="shared" si="3"/>
        <v>13255.92</v>
      </c>
      <c r="J28" s="161">
        <f t="shared" si="4"/>
        <v>8667.61</v>
      </c>
      <c r="K28" s="162">
        <f t="shared" si="5"/>
        <v>14079</v>
      </c>
      <c r="L28" s="163">
        <v>343.75</v>
      </c>
      <c r="M28" s="163">
        <v>200</v>
      </c>
      <c r="N28" s="163">
        <v>1500</v>
      </c>
      <c r="O28" s="160">
        <f t="shared" si="6"/>
        <v>320204.97200000001</v>
      </c>
      <c r="P28" s="140">
        <f t="shared" si="8"/>
        <v>4926.2303384615388</v>
      </c>
      <c r="Q28" s="132"/>
    </row>
    <row r="29" spans="1:17" ht="30" customHeight="1">
      <c r="A29" s="133">
        <f t="shared" si="7"/>
        <v>27</v>
      </c>
      <c r="B29" s="134" t="s">
        <v>61</v>
      </c>
      <c r="C29" s="135">
        <v>37694</v>
      </c>
      <c r="D29" s="136">
        <v>33.4</v>
      </c>
      <c r="E29" s="158">
        <f t="shared" si="0"/>
        <v>165115.90599999999</v>
      </c>
      <c r="F29" s="158">
        <f t="shared" si="1"/>
        <v>80192.397999999986</v>
      </c>
      <c r="G29" s="159">
        <v>300</v>
      </c>
      <c r="H29" s="160">
        <f t="shared" si="2"/>
        <v>15469.544</v>
      </c>
      <c r="I29" s="161">
        <f t="shared" si="3"/>
        <v>12264.48</v>
      </c>
      <c r="J29" s="161">
        <f t="shared" si="4"/>
        <v>8019.3399999999992</v>
      </c>
      <c r="K29" s="162">
        <f t="shared" si="5"/>
        <v>13026</v>
      </c>
      <c r="L29" s="163">
        <v>343.75</v>
      </c>
      <c r="M29" s="163">
        <v>200</v>
      </c>
      <c r="N29" s="163">
        <v>1500</v>
      </c>
      <c r="O29" s="160">
        <f t="shared" si="6"/>
        <v>296431.41799999995</v>
      </c>
      <c r="P29" s="140">
        <f t="shared" si="8"/>
        <v>4560.4833538461535</v>
      </c>
      <c r="Q29" s="132"/>
    </row>
    <row r="30" spans="1:17" ht="30" customHeight="1">
      <c r="A30" s="133">
        <f t="shared" si="7"/>
        <v>28</v>
      </c>
      <c r="B30" s="134" t="s">
        <v>61</v>
      </c>
      <c r="C30" s="135">
        <v>37697</v>
      </c>
      <c r="D30" s="136">
        <v>35.08</v>
      </c>
      <c r="E30" s="158">
        <f t="shared" si="0"/>
        <v>173421.1372</v>
      </c>
      <c r="F30" s="158">
        <f t="shared" si="1"/>
        <v>84226.027599999987</v>
      </c>
      <c r="G30" s="159">
        <v>300</v>
      </c>
      <c r="H30" s="160">
        <f t="shared" si="2"/>
        <v>16247.6528</v>
      </c>
      <c r="I30" s="161">
        <f t="shared" si="3"/>
        <v>12881.375999999998</v>
      </c>
      <c r="J30" s="161">
        <f t="shared" si="4"/>
        <v>8422.7079999999987</v>
      </c>
      <c r="K30" s="162">
        <f t="shared" si="5"/>
        <v>13681.199999999999</v>
      </c>
      <c r="L30" s="163">
        <v>343.75</v>
      </c>
      <c r="M30" s="163">
        <v>200</v>
      </c>
      <c r="N30" s="163">
        <v>1500</v>
      </c>
      <c r="O30" s="160">
        <f t="shared" si="6"/>
        <v>311223.85159999999</v>
      </c>
      <c r="P30" s="140">
        <f t="shared" si="8"/>
        <v>4788.0592553846154</v>
      </c>
      <c r="Q30" s="132"/>
    </row>
    <row r="31" spans="1:17" ht="30" customHeight="1">
      <c r="A31" s="133">
        <f t="shared" si="7"/>
        <v>29</v>
      </c>
      <c r="B31" s="134" t="s">
        <v>61</v>
      </c>
      <c r="C31" s="135">
        <v>33389</v>
      </c>
      <c r="D31" s="136">
        <v>28.51</v>
      </c>
      <c r="E31" s="158">
        <f t="shared" si="0"/>
        <v>140941.75090000001</v>
      </c>
      <c r="F31" s="158">
        <f t="shared" si="1"/>
        <v>68451.654699999999</v>
      </c>
      <c r="G31" s="159">
        <v>300</v>
      </c>
      <c r="H31" s="160">
        <f t="shared" si="2"/>
        <v>13204.691600000002</v>
      </c>
      <c r="I31" s="161">
        <f t="shared" si="3"/>
        <v>10468.871999999999</v>
      </c>
      <c r="J31" s="161">
        <f t="shared" si="4"/>
        <v>6845.2510000000002</v>
      </c>
      <c r="K31" s="162">
        <f t="shared" si="5"/>
        <v>11118.900000000001</v>
      </c>
      <c r="L31" s="163">
        <v>343.75</v>
      </c>
      <c r="M31" s="163">
        <v>200</v>
      </c>
      <c r="N31" s="163">
        <v>1500</v>
      </c>
      <c r="O31" s="160">
        <f t="shared" si="6"/>
        <v>253374.8702</v>
      </c>
      <c r="P31" s="140">
        <f t="shared" si="8"/>
        <v>3898.0749261538463</v>
      </c>
      <c r="Q31" s="132"/>
    </row>
    <row r="32" spans="1:17" ht="30" customHeight="1">
      <c r="A32" s="133">
        <f t="shared" si="7"/>
        <v>30</v>
      </c>
      <c r="B32" s="134" t="s">
        <v>61</v>
      </c>
      <c r="C32" s="135">
        <v>35991</v>
      </c>
      <c r="D32" s="136">
        <v>33</v>
      </c>
      <c r="E32" s="158">
        <f t="shared" si="0"/>
        <v>163138.47</v>
      </c>
      <c r="F32" s="158">
        <f t="shared" si="1"/>
        <v>79232.009999999995</v>
      </c>
      <c r="G32" s="159">
        <v>300</v>
      </c>
      <c r="H32" s="160">
        <f t="shared" si="2"/>
        <v>15284.28</v>
      </c>
      <c r="I32" s="161">
        <f t="shared" si="3"/>
        <v>12117.6</v>
      </c>
      <c r="J32" s="161">
        <f t="shared" si="4"/>
        <v>7923.3</v>
      </c>
      <c r="K32" s="162">
        <f t="shared" si="5"/>
        <v>12870</v>
      </c>
      <c r="L32" s="163">
        <v>343.75</v>
      </c>
      <c r="M32" s="163">
        <v>200</v>
      </c>
      <c r="N32" s="163">
        <v>1500</v>
      </c>
      <c r="O32" s="160">
        <f t="shared" si="6"/>
        <v>292909.41000000003</v>
      </c>
      <c r="P32" s="140">
        <f t="shared" si="8"/>
        <v>4506.2986153846159</v>
      </c>
      <c r="Q32" s="132"/>
    </row>
    <row r="33" spans="1:17" ht="30" customHeight="1">
      <c r="A33" s="133">
        <f t="shared" si="7"/>
        <v>31</v>
      </c>
      <c r="B33" s="134" t="s">
        <v>61</v>
      </c>
      <c r="C33" s="135">
        <v>71521</v>
      </c>
      <c r="D33" s="136">
        <v>32.14</v>
      </c>
      <c r="E33" s="158">
        <f t="shared" si="0"/>
        <v>158886.98260000002</v>
      </c>
      <c r="F33" s="158">
        <f t="shared" si="1"/>
        <v>77167.175799999997</v>
      </c>
      <c r="G33" s="159">
        <v>300</v>
      </c>
      <c r="H33" s="160">
        <f t="shared" si="2"/>
        <v>14885.9624</v>
      </c>
      <c r="I33" s="161">
        <f t="shared" si="3"/>
        <v>11801.807999999999</v>
      </c>
      <c r="J33" s="161">
        <f t="shared" si="4"/>
        <v>7716.8140000000003</v>
      </c>
      <c r="K33" s="162">
        <f t="shared" si="5"/>
        <v>12534.6</v>
      </c>
      <c r="L33" s="163">
        <v>343.75</v>
      </c>
      <c r="M33" s="163">
        <v>200</v>
      </c>
      <c r="N33" s="163">
        <v>1500</v>
      </c>
      <c r="O33" s="160">
        <f t="shared" si="6"/>
        <v>285337.09279999998</v>
      </c>
      <c r="P33" s="140">
        <f t="shared" si="8"/>
        <v>4389.8014276923077</v>
      </c>
      <c r="Q33" s="132"/>
    </row>
    <row r="34" spans="1:17" ht="30" customHeight="1">
      <c r="A34" s="133">
        <f t="shared" si="7"/>
        <v>32</v>
      </c>
      <c r="B34" s="134" t="s">
        <v>69</v>
      </c>
      <c r="C34" s="135">
        <v>42553</v>
      </c>
      <c r="D34" s="136">
        <v>35.159999999999997</v>
      </c>
      <c r="E34" s="158">
        <f t="shared" si="0"/>
        <v>173816.6244</v>
      </c>
      <c r="F34" s="158">
        <f t="shared" si="1"/>
        <v>84418.105199999991</v>
      </c>
      <c r="G34" s="159">
        <v>300</v>
      </c>
      <c r="H34" s="160">
        <f t="shared" si="2"/>
        <v>16284.705599999999</v>
      </c>
      <c r="I34" s="161">
        <f t="shared" si="3"/>
        <v>12910.751999999999</v>
      </c>
      <c r="J34" s="161">
        <f t="shared" si="4"/>
        <v>8441.9159999999993</v>
      </c>
      <c r="K34" s="162">
        <f t="shared" si="5"/>
        <v>13712.399999999998</v>
      </c>
      <c r="L34" s="163">
        <v>343.75</v>
      </c>
      <c r="M34" s="163">
        <v>200</v>
      </c>
      <c r="N34" s="163">
        <v>1500</v>
      </c>
      <c r="O34" s="160">
        <f t="shared" si="6"/>
        <v>311928.25320000004</v>
      </c>
      <c r="P34" s="140">
        <f t="shared" si="8"/>
        <v>4798.8962030769235</v>
      </c>
      <c r="Q34" s="132"/>
    </row>
    <row r="35" spans="1:17" ht="30" customHeight="1">
      <c r="A35" s="133">
        <f t="shared" si="7"/>
        <v>33</v>
      </c>
      <c r="B35" s="134" t="s">
        <v>69</v>
      </c>
      <c r="C35" s="135">
        <v>37269</v>
      </c>
      <c r="D35" s="136">
        <v>34.9</v>
      </c>
      <c r="E35" s="158">
        <f t="shared" si="0"/>
        <v>172531.291</v>
      </c>
      <c r="F35" s="158">
        <f t="shared" si="1"/>
        <v>83793.852999999988</v>
      </c>
      <c r="G35" s="159">
        <v>300</v>
      </c>
      <c r="H35" s="160">
        <f t="shared" si="2"/>
        <v>16164.284</v>
      </c>
      <c r="I35" s="161">
        <f t="shared" si="3"/>
        <v>12815.279999999999</v>
      </c>
      <c r="J35" s="161">
        <f t="shared" si="4"/>
        <v>8379.49</v>
      </c>
      <c r="K35" s="162">
        <f t="shared" si="5"/>
        <v>13611</v>
      </c>
      <c r="L35" s="163">
        <v>343.75</v>
      </c>
      <c r="M35" s="163">
        <v>200</v>
      </c>
      <c r="N35" s="163">
        <v>1500</v>
      </c>
      <c r="O35" s="160">
        <f t="shared" si="6"/>
        <v>309638.94799999997</v>
      </c>
      <c r="P35" s="140">
        <f t="shared" si="8"/>
        <v>4763.6761230769225</v>
      </c>
      <c r="Q35" s="132">
        <v>62</v>
      </c>
    </row>
    <row r="36" spans="1:17" ht="30" customHeight="1">
      <c r="A36" s="133">
        <f t="shared" si="7"/>
        <v>34</v>
      </c>
      <c r="B36" s="134" t="s">
        <v>69</v>
      </c>
      <c r="C36" s="135">
        <v>43842</v>
      </c>
      <c r="D36" s="136">
        <v>35.08</v>
      </c>
      <c r="E36" s="158">
        <f t="shared" si="0"/>
        <v>173421.1372</v>
      </c>
      <c r="F36" s="158">
        <f t="shared" si="1"/>
        <v>84226.027599999987</v>
      </c>
      <c r="G36" s="159">
        <v>300</v>
      </c>
      <c r="H36" s="160">
        <f t="shared" si="2"/>
        <v>16247.6528</v>
      </c>
      <c r="I36" s="161">
        <f t="shared" si="3"/>
        <v>12881.375999999998</v>
      </c>
      <c r="J36" s="161">
        <f t="shared" si="4"/>
        <v>8422.7079999999987</v>
      </c>
      <c r="K36" s="162">
        <f t="shared" si="5"/>
        <v>13681.199999999999</v>
      </c>
      <c r="L36" s="163">
        <v>343.75</v>
      </c>
      <c r="M36" s="163">
        <v>200</v>
      </c>
      <c r="N36" s="163">
        <v>1500</v>
      </c>
      <c r="O36" s="160">
        <f t="shared" si="6"/>
        <v>311223.85159999999</v>
      </c>
      <c r="P36" s="140">
        <f t="shared" si="8"/>
        <v>4788.0592553846154</v>
      </c>
      <c r="Q36" s="132"/>
    </row>
    <row r="37" spans="1:17" ht="30" customHeight="1">
      <c r="A37" s="133">
        <f t="shared" si="7"/>
        <v>35</v>
      </c>
      <c r="B37" s="134" t="s">
        <v>69</v>
      </c>
      <c r="C37" s="135">
        <v>21167</v>
      </c>
      <c r="D37" s="136">
        <v>32.549999999999997</v>
      </c>
      <c r="E37" s="158">
        <f t="shared" si="0"/>
        <v>160913.85449999999</v>
      </c>
      <c r="F37" s="158">
        <f t="shared" si="1"/>
        <v>78151.573499999984</v>
      </c>
      <c r="G37" s="159">
        <v>300</v>
      </c>
      <c r="H37" s="160">
        <f t="shared" si="2"/>
        <v>15075.858</v>
      </c>
      <c r="I37" s="161">
        <f t="shared" si="3"/>
        <v>11952.359999999999</v>
      </c>
      <c r="J37" s="161">
        <f t="shared" si="4"/>
        <v>7815.2549999999992</v>
      </c>
      <c r="K37" s="162">
        <f t="shared" si="5"/>
        <v>12694.499999999998</v>
      </c>
      <c r="L37" s="163">
        <v>343.75</v>
      </c>
      <c r="M37" s="163">
        <v>200</v>
      </c>
      <c r="N37" s="163">
        <v>1500</v>
      </c>
      <c r="O37" s="160">
        <f t="shared" si="6"/>
        <v>288947.15099999995</v>
      </c>
      <c r="P37" s="140">
        <f t="shared" si="8"/>
        <v>4445.3407846153841</v>
      </c>
      <c r="Q37" s="132"/>
    </row>
    <row r="38" spans="1:17" ht="30" customHeight="1">
      <c r="A38" s="133">
        <f t="shared" si="7"/>
        <v>36</v>
      </c>
      <c r="B38" s="134" t="s">
        <v>69</v>
      </c>
      <c r="C38" s="135">
        <v>29318</v>
      </c>
      <c r="D38" s="136">
        <v>39.25</v>
      </c>
      <c r="E38" s="158">
        <f t="shared" si="0"/>
        <v>194035.9075</v>
      </c>
      <c r="F38" s="158">
        <f t="shared" si="1"/>
        <v>94238.072499999995</v>
      </c>
      <c r="G38" s="159">
        <v>300</v>
      </c>
      <c r="H38" s="160">
        <f t="shared" si="2"/>
        <v>18179.030000000002</v>
      </c>
      <c r="I38" s="161">
        <f t="shared" si="3"/>
        <v>14412.6</v>
      </c>
      <c r="J38" s="161">
        <f t="shared" si="4"/>
        <v>9423.9249999999993</v>
      </c>
      <c r="K38" s="162">
        <f t="shared" si="5"/>
        <v>15307.5</v>
      </c>
      <c r="L38" s="163">
        <v>343.75</v>
      </c>
      <c r="M38" s="163">
        <v>200</v>
      </c>
      <c r="N38" s="163">
        <v>1500</v>
      </c>
      <c r="O38" s="160">
        <f t="shared" si="6"/>
        <v>347940.78500000003</v>
      </c>
      <c r="P38" s="140">
        <f t="shared" si="8"/>
        <v>5352.9351538461542</v>
      </c>
      <c r="Q38" s="132"/>
    </row>
    <row r="39" spans="1:17" ht="30" customHeight="1">
      <c r="A39" s="133">
        <f t="shared" si="7"/>
        <v>37</v>
      </c>
      <c r="B39" s="134" t="s">
        <v>69</v>
      </c>
      <c r="C39" s="135">
        <v>54893</v>
      </c>
      <c r="D39" s="136">
        <v>34.5</v>
      </c>
      <c r="E39" s="158">
        <f t="shared" si="0"/>
        <v>170553.85500000001</v>
      </c>
      <c r="F39" s="158">
        <f t="shared" si="1"/>
        <v>82833.464999999997</v>
      </c>
      <c r="G39" s="159">
        <v>300</v>
      </c>
      <c r="H39" s="160">
        <f t="shared" si="2"/>
        <v>15979.02</v>
      </c>
      <c r="I39" s="161">
        <f t="shared" si="3"/>
        <v>12668.4</v>
      </c>
      <c r="J39" s="161">
        <f t="shared" si="4"/>
        <v>8283.4499999999989</v>
      </c>
      <c r="K39" s="162">
        <f t="shared" si="5"/>
        <v>13455</v>
      </c>
      <c r="L39" s="163">
        <v>343.75</v>
      </c>
      <c r="M39" s="163">
        <v>200</v>
      </c>
      <c r="N39" s="163">
        <v>1500</v>
      </c>
      <c r="O39" s="160">
        <f t="shared" si="6"/>
        <v>306116.94</v>
      </c>
      <c r="P39" s="140">
        <f t="shared" si="8"/>
        <v>4709.491384615385</v>
      </c>
      <c r="Q39" s="132"/>
    </row>
    <row r="40" spans="1:17" ht="30" customHeight="1">
      <c r="A40" s="133">
        <f t="shared" si="7"/>
        <v>38</v>
      </c>
      <c r="B40" s="134" t="s">
        <v>69</v>
      </c>
      <c r="C40" s="135">
        <v>41145</v>
      </c>
      <c r="D40" s="136">
        <v>35.97</v>
      </c>
      <c r="E40" s="158">
        <f t="shared" si="0"/>
        <v>177820.93229999999</v>
      </c>
      <c r="F40" s="158">
        <f t="shared" si="1"/>
        <v>86362.890899999984</v>
      </c>
      <c r="G40" s="159">
        <v>300</v>
      </c>
      <c r="H40" s="160">
        <f t="shared" si="2"/>
        <v>16659.8652</v>
      </c>
      <c r="I40" s="161">
        <f t="shared" si="3"/>
        <v>13208.183999999999</v>
      </c>
      <c r="J40" s="161">
        <f t="shared" si="4"/>
        <v>8636.396999999999</v>
      </c>
      <c r="K40" s="162">
        <f t="shared" si="5"/>
        <v>14028.3</v>
      </c>
      <c r="L40" s="163">
        <v>343.75</v>
      </c>
      <c r="M40" s="163">
        <v>200</v>
      </c>
      <c r="N40" s="163">
        <v>1500</v>
      </c>
      <c r="O40" s="160">
        <f t="shared" si="6"/>
        <v>319060.31939999998</v>
      </c>
      <c r="P40" s="140">
        <f t="shared" si="8"/>
        <v>4908.6202984615384</v>
      </c>
      <c r="Q40" s="132"/>
    </row>
    <row r="41" spans="1:17" ht="30" customHeight="1">
      <c r="A41" s="133">
        <f t="shared" si="7"/>
        <v>39</v>
      </c>
      <c r="B41" s="134" t="s">
        <v>69</v>
      </c>
      <c r="C41" s="135">
        <v>22594</v>
      </c>
      <c r="D41" s="136">
        <v>28.2</v>
      </c>
      <c r="E41" s="158">
        <f t="shared" si="0"/>
        <v>139409.23800000001</v>
      </c>
      <c r="F41" s="158">
        <f t="shared" si="1"/>
        <v>67707.353999999992</v>
      </c>
      <c r="G41" s="159">
        <v>300</v>
      </c>
      <c r="H41" s="160">
        <f t="shared" si="2"/>
        <v>13061.112000000001</v>
      </c>
      <c r="I41" s="161">
        <f t="shared" si="3"/>
        <v>10355.039999999999</v>
      </c>
      <c r="J41" s="161">
        <f t="shared" si="4"/>
        <v>6770.82</v>
      </c>
      <c r="K41" s="162">
        <f t="shared" si="5"/>
        <v>10998</v>
      </c>
      <c r="L41" s="163">
        <v>343.75</v>
      </c>
      <c r="M41" s="163">
        <v>200</v>
      </c>
      <c r="N41" s="163">
        <v>1500</v>
      </c>
      <c r="O41" s="160">
        <f t="shared" si="6"/>
        <v>250645.31400000001</v>
      </c>
      <c r="P41" s="140">
        <f t="shared" si="8"/>
        <v>3856.0817538461542</v>
      </c>
      <c r="Q41" s="132"/>
    </row>
    <row r="42" spans="1:17" ht="30" customHeight="1">
      <c r="A42" s="133">
        <f t="shared" si="7"/>
        <v>40</v>
      </c>
      <c r="B42" s="134" t="s">
        <v>69</v>
      </c>
      <c r="C42" s="135">
        <v>42535</v>
      </c>
      <c r="D42" s="136">
        <v>33.72</v>
      </c>
      <c r="E42" s="158">
        <f t="shared" si="0"/>
        <v>166697.8548</v>
      </c>
      <c r="F42" s="158">
        <f t="shared" si="1"/>
        <v>80960.708399999989</v>
      </c>
      <c r="G42" s="159">
        <v>300</v>
      </c>
      <c r="H42" s="160">
        <f t="shared" si="2"/>
        <v>15617.7552</v>
      </c>
      <c r="I42" s="161">
        <f t="shared" si="3"/>
        <v>12381.983999999999</v>
      </c>
      <c r="J42" s="161">
        <f t="shared" si="4"/>
        <v>8096.1719999999996</v>
      </c>
      <c r="K42" s="162">
        <f t="shared" si="5"/>
        <v>13150.8</v>
      </c>
      <c r="L42" s="163">
        <v>343.75</v>
      </c>
      <c r="M42" s="163">
        <v>200</v>
      </c>
      <c r="N42" s="163">
        <v>1500</v>
      </c>
      <c r="O42" s="160">
        <f t="shared" si="6"/>
        <v>299249.02439999999</v>
      </c>
      <c r="P42" s="140">
        <f t="shared" si="8"/>
        <v>4603.8311446153848</v>
      </c>
      <c r="Q42" s="132"/>
    </row>
    <row r="43" spans="1:17" ht="30" customHeight="1">
      <c r="A43" s="133">
        <f t="shared" si="7"/>
        <v>41</v>
      </c>
      <c r="B43" s="134" t="s">
        <v>69</v>
      </c>
      <c r="C43" s="135">
        <v>31899</v>
      </c>
      <c r="D43" s="136">
        <v>32.78</v>
      </c>
      <c r="E43" s="158">
        <f t="shared" si="0"/>
        <v>162050.88020000001</v>
      </c>
      <c r="F43" s="158">
        <f t="shared" si="1"/>
        <v>78703.796600000001</v>
      </c>
      <c r="G43" s="159">
        <v>300</v>
      </c>
      <c r="H43" s="160">
        <f t="shared" si="2"/>
        <v>15182.384800000002</v>
      </c>
      <c r="I43" s="161">
        <f t="shared" si="3"/>
        <v>12036.816000000001</v>
      </c>
      <c r="J43" s="161">
        <f t="shared" si="4"/>
        <v>7870.4780000000001</v>
      </c>
      <c r="K43" s="162">
        <f t="shared" si="5"/>
        <v>12784.2</v>
      </c>
      <c r="L43" s="163">
        <v>343.75</v>
      </c>
      <c r="M43" s="163">
        <v>200</v>
      </c>
      <c r="N43" s="163">
        <v>1500</v>
      </c>
      <c r="O43" s="160">
        <f t="shared" si="6"/>
        <v>290972.30560000002</v>
      </c>
      <c r="P43" s="140">
        <f t="shared" si="8"/>
        <v>4476.4970092307694</v>
      </c>
      <c r="Q43" s="132"/>
    </row>
    <row r="44" spans="1:17" ht="30" customHeight="1">
      <c r="A44" s="133">
        <f t="shared" si="7"/>
        <v>42</v>
      </c>
      <c r="B44" s="134" t="s">
        <v>69</v>
      </c>
      <c r="C44" s="135">
        <v>31252</v>
      </c>
      <c r="D44" s="136">
        <v>31.45</v>
      </c>
      <c r="E44" s="158">
        <f t="shared" si="0"/>
        <v>155475.90549999999</v>
      </c>
      <c r="F44" s="158">
        <f t="shared" si="1"/>
        <v>75510.506499999989</v>
      </c>
      <c r="G44" s="159">
        <v>300</v>
      </c>
      <c r="H44" s="160">
        <f t="shared" si="2"/>
        <v>14566.382</v>
      </c>
      <c r="I44" s="161">
        <f t="shared" si="3"/>
        <v>11548.439999999999</v>
      </c>
      <c r="J44" s="161">
        <f t="shared" si="4"/>
        <v>7551.1449999999995</v>
      </c>
      <c r="K44" s="162">
        <f t="shared" si="5"/>
        <v>12265.5</v>
      </c>
      <c r="L44" s="163">
        <v>343.75</v>
      </c>
      <c r="M44" s="163">
        <v>200</v>
      </c>
      <c r="N44" s="163">
        <v>1500</v>
      </c>
      <c r="O44" s="160">
        <f t="shared" si="6"/>
        <v>279261.62899999996</v>
      </c>
      <c r="P44" s="140">
        <f t="shared" si="8"/>
        <v>4296.3327538461535</v>
      </c>
      <c r="Q44" s="132"/>
    </row>
    <row r="45" spans="1:17" ht="30" customHeight="1">
      <c r="A45" s="133">
        <f t="shared" si="7"/>
        <v>43</v>
      </c>
      <c r="B45" s="134" t="s">
        <v>69</v>
      </c>
      <c r="C45" s="135">
        <v>38884</v>
      </c>
      <c r="D45" s="136">
        <v>30.15</v>
      </c>
      <c r="E45" s="158">
        <f t="shared" si="0"/>
        <v>149049.23850000001</v>
      </c>
      <c r="F45" s="158">
        <f t="shared" si="1"/>
        <v>72389.24549999999</v>
      </c>
      <c r="G45" s="159">
        <v>300</v>
      </c>
      <c r="H45" s="160">
        <f t="shared" si="2"/>
        <v>13964.273999999999</v>
      </c>
      <c r="I45" s="161">
        <f t="shared" si="3"/>
        <v>11071.08</v>
      </c>
      <c r="J45" s="161">
        <f t="shared" si="4"/>
        <v>7239.0149999999994</v>
      </c>
      <c r="K45" s="162">
        <f t="shared" si="5"/>
        <v>11758.5</v>
      </c>
      <c r="L45" s="163">
        <v>343.75</v>
      </c>
      <c r="M45" s="163">
        <v>200</v>
      </c>
      <c r="N45" s="163">
        <v>1500</v>
      </c>
      <c r="O45" s="160">
        <f t="shared" si="6"/>
        <v>267815.103</v>
      </c>
      <c r="P45" s="140">
        <f t="shared" si="8"/>
        <v>4120.2323538461542</v>
      </c>
      <c r="Q45" s="132"/>
    </row>
    <row r="46" spans="1:17" ht="30" customHeight="1">
      <c r="A46" s="133">
        <f t="shared" si="7"/>
        <v>44</v>
      </c>
      <c r="B46" s="134" t="s">
        <v>69</v>
      </c>
      <c r="C46" s="135">
        <v>46479</v>
      </c>
      <c r="D46" s="136">
        <v>31.5</v>
      </c>
      <c r="E46" s="158">
        <f t="shared" si="0"/>
        <v>155723.08499999999</v>
      </c>
      <c r="F46" s="158">
        <f t="shared" si="1"/>
        <v>75630.554999999993</v>
      </c>
      <c r="G46" s="159">
        <v>300</v>
      </c>
      <c r="H46" s="160">
        <f t="shared" si="2"/>
        <v>14589.54</v>
      </c>
      <c r="I46" s="161">
        <f t="shared" si="3"/>
        <v>11566.8</v>
      </c>
      <c r="J46" s="161">
        <f t="shared" si="4"/>
        <v>7563.15</v>
      </c>
      <c r="K46" s="162">
        <f t="shared" si="5"/>
        <v>12285</v>
      </c>
      <c r="L46" s="163">
        <v>343.75</v>
      </c>
      <c r="M46" s="163">
        <v>200</v>
      </c>
      <c r="N46" s="163">
        <v>1500</v>
      </c>
      <c r="O46" s="160">
        <f t="shared" si="6"/>
        <v>279701.88</v>
      </c>
      <c r="P46" s="140">
        <f t="shared" si="8"/>
        <v>4303.105846153846</v>
      </c>
      <c r="Q46" s="132"/>
    </row>
    <row r="47" spans="1:17" ht="30" customHeight="1">
      <c r="A47" s="133">
        <f t="shared" si="7"/>
        <v>45</v>
      </c>
      <c r="B47" s="134" t="s">
        <v>69</v>
      </c>
      <c r="C47" s="135">
        <v>29231</v>
      </c>
      <c r="D47" s="136">
        <v>33.049999999999997</v>
      </c>
      <c r="E47" s="158">
        <f t="shared" si="0"/>
        <v>163385.6495</v>
      </c>
      <c r="F47" s="158">
        <f t="shared" si="1"/>
        <v>79352.058499999985</v>
      </c>
      <c r="G47" s="159">
        <v>300</v>
      </c>
      <c r="H47" s="160">
        <f t="shared" si="2"/>
        <v>15307.438</v>
      </c>
      <c r="I47" s="161">
        <f t="shared" si="3"/>
        <v>12135.96</v>
      </c>
      <c r="J47" s="161">
        <f t="shared" si="4"/>
        <v>7935.3049999999994</v>
      </c>
      <c r="K47" s="162">
        <f t="shared" si="5"/>
        <v>12889.499999999998</v>
      </c>
      <c r="L47" s="163">
        <v>343.75</v>
      </c>
      <c r="M47" s="163">
        <v>200</v>
      </c>
      <c r="N47" s="163">
        <v>1500</v>
      </c>
      <c r="O47" s="160">
        <f t="shared" si="6"/>
        <v>293349.66099999996</v>
      </c>
      <c r="P47" s="140">
        <f t="shared" si="8"/>
        <v>4513.0717076923074</v>
      </c>
      <c r="Q47" s="132"/>
    </row>
    <row r="48" spans="1:17" ht="30" customHeight="1">
      <c r="A48" s="133">
        <f t="shared" si="7"/>
        <v>46</v>
      </c>
      <c r="B48" s="134" t="s">
        <v>69</v>
      </c>
      <c r="C48" s="135">
        <v>28571</v>
      </c>
      <c r="D48" s="136">
        <v>30.75</v>
      </c>
      <c r="E48" s="158">
        <f t="shared" si="0"/>
        <v>152015.39250000002</v>
      </c>
      <c r="F48" s="158">
        <f t="shared" si="1"/>
        <v>73829.827499999999</v>
      </c>
      <c r="G48" s="159">
        <v>300</v>
      </c>
      <c r="H48" s="160">
        <f t="shared" si="2"/>
        <v>14242.17</v>
      </c>
      <c r="I48" s="161">
        <f t="shared" si="3"/>
        <v>11291.4</v>
      </c>
      <c r="J48" s="161">
        <f t="shared" si="4"/>
        <v>7383.0749999999998</v>
      </c>
      <c r="K48" s="162">
        <f t="shared" si="5"/>
        <v>11992.5</v>
      </c>
      <c r="L48" s="163">
        <v>343.75</v>
      </c>
      <c r="M48" s="163">
        <v>200</v>
      </c>
      <c r="N48" s="163">
        <v>1500</v>
      </c>
      <c r="O48" s="160">
        <f t="shared" si="6"/>
        <v>273098.11499999999</v>
      </c>
      <c r="P48" s="140">
        <f t="shared" si="8"/>
        <v>4201.5094615384614</v>
      </c>
      <c r="Q48" s="132"/>
    </row>
    <row r="49" spans="1:17" ht="30" customHeight="1">
      <c r="A49" s="133">
        <f t="shared" si="7"/>
        <v>47</v>
      </c>
      <c r="B49" s="134" t="s">
        <v>69</v>
      </c>
      <c r="C49" s="135">
        <v>59493</v>
      </c>
      <c r="D49" s="136">
        <v>32.64</v>
      </c>
      <c r="E49" s="158">
        <f t="shared" si="0"/>
        <v>161358.7776</v>
      </c>
      <c r="F49" s="158">
        <f t="shared" si="1"/>
        <v>78367.660799999998</v>
      </c>
      <c r="G49" s="159">
        <v>300</v>
      </c>
      <c r="H49" s="160">
        <f t="shared" si="2"/>
        <v>15117.5424</v>
      </c>
      <c r="I49" s="161">
        <f t="shared" si="3"/>
        <v>11985.407999999999</v>
      </c>
      <c r="J49" s="161">
        <f t="shared" si="4"/>
        <v>7836.8639999999996</v>
      </c>
      <c r="K49" s="162">
        <f t="shared" si="5"/>
        <v>12729.6</v>
      </c>
      <c r="L49" s="163">
        <v>343.75</v>
      </c>
      <c r="M49" s="163">
        <v>200</v>
      </c>
      <c r="N49" s="163">
        <v>1500</v>
      </c>
      <c r="O49" s="160">
        <f t="shared" si="6"/>
        <v>289739.60279999999</v>
      </c>
      <c r="P49" s="140">
        <f t="shared" si="8"/>
        <v>4457.532350769231</v>
      </c>
      <c r="Q49" s="132"/>
    </row>
    <row r="50" spans="1:17" ht="30" customHeight="1" thickBot="1">
      <c r="A50" s="141">
        <f t="shared" si="7"/>
        <v>48</v>
      </c>
      <c r="B50" s="142" t="s">
        <v>69</v>
      </c>
      <c r="C50" s="143">
        <v>15468</v>
      </c>
      <c r="D50" s="144">
        <v>31.84</v>
      </c>
      <c r="E50" s="158">
        <f t="shared" si="0"/>
        <v>157403.9056</v>
      </c>
      <c r="F50" s="158">
        <f t="shared" si="1"/>
        <v>76446.8848</v>
      </c>
      <c r="G50" s="159">
        <v>300</v>
      </c>
      <c r="H50" s="160">
        <f t="shared" si="2"/>
        <v>14747.0144</v>
      </c>
      <c r="I50" s="161">
        <f t="shared" si="3"/>
        <v>11691.647999999999</v>
      </c>
      <c r="J50" s="161">
        <f t="shared" si="4"/>
        <v>7644.7839999999997</v>
      </c>
      <c r="K50" s="162">
        <f t="shared" si="5"/>
        <v>12417.6</v>
      </c>
      <c r="L50" s="163">
        <v>343.75</v>
      </c>
      <c r="M50" s="163">
        <v>200</v>
      </c>
      <c r="N50" s="163">
        <v>1500</v>
      </c>
      <c r="O50" s="160">
        <f t="shared" si="6"/>
        <v>282695.58679999999</v>
      </c>
      <c r="P50" s="140">
        <f t="shared" si="8"/>
        <v>4349.1628738461541</v>
      </c>
      <c r="Q50" s="132"/>
    </row>
    <row r="51" spans="1:17" ht="30" customHeight="1" thickBot="1">
      <c r="A51" s="149"/>
      <c r="B51" s="150"/>
      <c r="C51" s="150"/>
      <c r="D51" s="152">
        <f t="shared" ref="D51:E51" si="9">SUM(D3:D50)</f>
        <v>1595.2700000000004</v>
      </c>
      <c r="E51" s="152">
        <f t="shared" si="9"/>
        <v>7886360.8193000006</v>
      </c>
      <c r="F51" s="152">
        <f>SUM(F3:F50)</f>
        <v>3830195.4119000002</v>
      </c>
      <c r="G51" s="152">
        <f t="shared" ref="G51:O51" si="10">SUM(G3:G50)</f>
        <v>14400</v>
      </c>
      <c r="H51" s="152">
        <f t="shared" si="10"/>
        <v>738865.25320000004</v>
      </c>
      <c r="I51" s="152">
        <f t="shared" si="10"/>
        <v>585783.14399999985</v>
      </c>
      <c r="J51" s="152">
        <f t="shared" si="10"/>
        <v>383024.32700000005</v>
      </c>
      <c r="K51" s="152">
        <f t="shared" si="10"/>
        <v>622155.29999999993</v>
      </c>
      <c r="L51" s="152">
        <f t="shared" si="10"/>
        <v>16500</v>
      </c>
      <c r="M51" s="152"/>
      <c r="N51" s="152"/>
      <c r="O51" s="152">
        <f t="shared" si="10"/>
        <v>14158884.255400004</v>
      </c>
      <c r="P51" s="153">
        <f>SUM(P3:P50)</f>
        <v>217828.98854461545</v>
      </c>
      <c r="Q51" s="132"/>
    </row>
    <row r="54" spans="1:17">
      <c r="K54" s="121"/>
    </row>
  </sheetData>
  <mergeCells count="1">
    <mergeCell ref="A1:P1"/>
  </mergeCells>
  <conditionalFormatting sqref="C2">
    <cfRule type="duplicateValues" dxfId="10" priority="4"/>
    <cfRule type="duplicateValues" dxfId="9" priority="5"/>
    <cfRule type="duplicateValues" dxfId="8" priority="6"/>
  </conditionalFormatting>
  <conditionalFormatting sqref="C51">
    <cfRule type="duplicateValues" dxfId="7" priority="3"/>
  </conditionalFormatting>
  <conditionalFormatting sqref="J2:O2 C2 C51">
    <cfRule type="duplicateValues" dxfId="6" priority="1"/>
    <cfRule type="duplicateValues" dxfId="5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rightToLeft="1" topLeftCell="A28" zoomScaleNormal="100" workbookViewId="0">
      <selection activeCell="P5" sqref="P5"/>
    </sheetView>
  </sheetViews>
  <sheetFormatPr defaultRowHeight="14.5"/>
  <cols>
    <col min="1" max="1" width="5.36328125" style="17" customWidth="1"/>
    <col min="2" max="2" width="9" style="18" customWidth="1"/>
    <col min="3" max="3" width="9.453125" style="16" customWidth="1"/>
    <col min="4" max="4" width="44.90625" style="19" customWidth="1"/>
    <col min="5" max="5" width="11.90625" style="20" bestFit="1" customWidth="1"/>
    <col min="6" max="6" width="11.36328125" style="21" bestFit="1" customWidth="1"/>
    <col min="7" max="7" width="12" style="22" customWidth="1"/>
    <col min="8" max="8" width="12" style="21" customWidth="1"/>
    <col min="9" max="9" width="13.54296875" style="23" customWidth="1"/>
    <col min="10" max="10" width="15.08984375" style="24" bestFit="1" customWidth="1"/>
    <col min="11" max="11" width="14.36328125" style="25" bestFit="1" customWidth="1"/>
    <col min="12" max="12" width="3.08984375" customWidth="1"/>
    <col min="13" max="13" width="6.453125" customWidth="1"/>
    <col min="14" max="14" width="7.54296875" bestFit="1" customWidth="1"/>
    <col min="15" max="255" width="8.90625"/>
    <col min="256" max="256" width="5.54296875" bestFit="1" customWidth="1"/>
    <col min="257" max="257" width="9.36328125" customWidth="1"/>
    <col min="258" max="258" width="24.6328125" customWidth="1"/>
    <col min="259" max="259" width="11" bestFit="1" customWidth="1"/>
    <col min="260" max="260" width="7.54296875" bestFit="1" customWidth="1"/>
    <col min="261" max="261" width="13.54296875" customWidth="1"/>
    <col min="262" max="262" width="11.36328125" bestFit="1" customWidth="1"/>
    <col min="263" max="263" width="12" customWidth="1"/>
    <col min="264" max="264" width="15.453125" bestFit="1" customWidth="1"/>
    <col min="265" max="266" width="15.08984375" bestFit="1" customWidth="1"/>
    <col min="267" max="267" width="14.36328125" bestFit="1" customWidth="1"/>
    <col min="268" max="268" width="3.08984375" customWidth="1"/>
    <col min="269" max="269" width="6.453125" customWidth="1"/>
    <col min="270" max="511" width="8.90625"/>
    <col min="512" max="512" width="5.54296875" bestFit="1" customWidth="1"/>
    <col min="513" max="513" width="9.36328125" customWidth="1"/>
    <col min="514" max="514" width="24.6328125" customWidth="1"/>
    <col min="515" max="515" width="11" bestFit="1" customWidth="1"/>
    <col min="516" max="516" width="7.54296875" bestFit="1" customWidth="1"/>
    <col min="517" max="517" width="13.54296875" customWidth="1"/>
    <col min="518" max="518" width="11.36328125" bestFit="1" customWidth="1"/>
    <col min="519" max="519" width="12" customWidth="1"/>
    <col min="520" max="520" width="15.453125" bestFit="1" customWidth="1"/>
    <col min="521" max="522" width="15.08984375" bestFit="1" customWidth="1"/>
    <col min="523" max="523" width="14.36328125" bestFit="1" customWidth="1"/>
    <col min="524" max="524" width="3.08984375" customWidth="1"/>
    <col min="525" max="525" width="6.453125" customWidth="1"/>
    <col min="526" max="767" width="8.90625"/>
    <col min="768" max="768" width="5.54296875" bestFit="1" customWidth="1"/>
    <col min="769" max="769" width="9.36328125" customWidth="1"/>
    <col min="770" max="770" width="24.6328125" customWidth="1"/>
    <col min="771" max="771" width="11" bestFit="1" customWidth="1"/>
    <col min="772" max="772" width="7.54296875" bestFit="1" customWidth="1"/>
    <col min="773" max="773" width="13.54296875" customWidth="1"/>
    <col min="774" max="774" width="11.36328125" bestFit="1" customWidth="1"/>
    <col min="775" max="775" width="12" customWidth="1"/>
    <col min="776" max="776" width="15.453125" bestFit="1" customWidth="1"/>
    <col min="777" max="778" width="15.08984375" bestFit="1" customWidth="1"/>
    <col min="779" max="779" width="14.36328125" bestFit="1" customWidth="1"/>
    <col min="780" max="780" width="3.08984375" customWidth="1"/>
    <col min="781" max="781" width="6.453125" customWidth="1"/>
    <col min="782" max="1023" width="8.90625"/>
    <col min="1024" max="1024" width="5.54296875" bestFit="1" customWidth="1"/>
    <col min="1025" max="1025" width="9.36328125" customWidth="1"/>
    <col min="1026" max="1026" width="24.6328125" customWidth="1"/>
    <col min="1027" max="1027" width="11" bestFit="1" customWidth="1"/>
    <col min="1028" max="1028" width="7.54296875" bestFit="1" customWidth="1"/>
    <col min="1029" max="1029" width="13.54296875" customWidth="1"/>
    <col min="1030" max="1030" width="11.36328125" bestFit="1" customWidth="1"/>
    <col min="1031" max="1031" width="12" customWidth="1"/>
    <col min="1032" max="1032" width="15.453125" bestFit="1" customWidth="1"/>
    <col min="1033" max="1034" width="15.08984375" bestFit="1" customWidth="1"/>
    <col min="1035" max="1035" width="14.36328125" bestFit="1" customWidth="1"/>
    <col min="1036" max="1036" width="3.08984375" customWidth="1"/>
    <col min="1037" max="1037" width="6.453125" customWidth="1"/>
    <col min="1038" max="1279" width="8.90625"/>
    <col min="1280" max="1280" width="5.54296875" bestFit="1" customWidth="1"/>
    <col min="1281" max="1281" width="9.36328125" customWidth="1"/>
    <col min="1282" max="1282" width="24.6328125" customWidth="1"/>
    <col min="1283" max="1283" width="11" bestFit="1" customWidth="1"/>
    <col min="1284" max="1284" width="7.54296875" bestFit="1" customWidth="1"/>
    <col min="1285" max="1285" width="13.54296875" customWidth="1"/>
    <col min="1286" max="1286" width="11.36328125" bestFit="1" customWidth="1"/>
    <col min="1287" max="1287" width="12" customWidth="1"/>
    <col min="1288" max="1288" width="15.453125" bestFit="1" customWidth="1"/>
    <col min="1289" max="1290" width="15.08984375" bestFit="1" customWidth="1"/>
    <col min="1291" max="1291" width="14.36328125" bestFit="1" customWidth="1"/>
    <col min="1292" max="1292" width="3.08984375" customWidth="1"/>
    <col min="1293" max="1293" width="6.453125" customWidth="1"/>
    <col min="1294" max="1535" width="8.90625"/>
    <col min="1536" max="1536" width="5.54296875" bestFit="1" customWidth="1"/>
    <col min="1537" max="1537" width="9.36328125" customWidth="1"/>
    <col min="1538" max="1538" width="24.6328125" customWidth="1"/>
    <col min="1539" max="1539" width="11" bestFit="1" customWidth="1"/>
    <col min="1540" max="1540" width="7.54296875" bestFit="1" customWidth="1"/>
    <col min="1541" max="1541" width="13.54296875" customWidth="1"/>
    <col min="1542" max="1542" width="11.36328125" bestFit="1" customWidth="1"/>
    <col min="1543" max="1543" width="12" customWidth="1"/>
    <col min="1544" max="1544" width="15.453125" bestFit="1" customWidth="1"/>
    <col min="1545" max="1546" width="15.08984375" bestFit="1" customWidth="1"/>
    <col min="1547" max="1547" width="14.36328125" bestFit="1" customWidth="1"/>
    <col min="1548" max="1548" width="3.08984375" customWidth="1"/>
    <col min="1549" max="1549" width="6.453125" customWidth="1"/>
    <col min="1550" max="1791" width="8.90625"/>
    <col min="1792" max="1792" width="5.54296875" bestFit="1" customWidth="1"/>
    <col min="1793" max="1793" width="9.36328125" customWidth="1"/>
    <col min="1794" max="1794" width="24.6328125" customWidth="1"/>
    <col min="1795" max="1795" width="11" bestFit="1" customWidth="1"/>
    <col min="1796" max="1796" width="7.54296875" bestFit="1" customWidth="1"/>
    <col min="1797" max="1797" width="13.54296875" customWidth="1"/>
    <col min="1798" max="1798" width="11.36328125" bestFit="1" customWidth="1"/>
    <col min="1799" max="1799" width="12" customWidth="1"/>
    <col min="1800" max="1800" width="15.453125" bestFit="1" customWidth="1"/>
    <col min="1801" max="1802" width="15.08984375" bestFit="1" customWidth="1"/>
    <col min="1803" max="1803" width="14.36328125" bestFit="1" customWidth="1"/>
    <col min="1804" max="1804" width="3.08984375" customWidth="1"/>
    <col min="1805" max="1805" width="6.453125" customWidth="1"/>
    <col min="1806" max="2047" width="8.90625"/>
    <col min="2048" max="2048" width="5.54296875" bestFit="1" customWidth="1"/>
    <col min="2049" max="2049" width="9.36328125" customWidth="1"/>
    <col min="2050" max="2050" width="24.6328125" customWidth="1"/>
    <col min="2051" max="2051" width="11" bestFit="1" customWidth="1"/>
    <col min="2052" max="2052" width="7.54296875" bestFit="1" customWidth="1"/>
    <col min="2053" max="2053" width="13.54296875" customWidth="1"/>
    <col min="2054" max="2054" width="11.36328125" bestFit="1" customWidth="1"/>
    <col min="2055" max="2055" width="12" customWidth="1"/>
    <col min="2056" max="2056" width="15.453125" bestFit="1" customWidth="1"/>
    <col min="2057" max="2058" width="15.08984375" bestFit="1" customWidth="1"/>
    <col min="2059" max="2059" width="14.36328125" bestFit="1" customWidth="1"/>
    <col min="2060" max="2060" width="3.08984375" customWidth="1"/>
    <col min="2061" max="2061" width="6.453125" customWidth="1"/>
    <col min="2062" max="2303" width="8.90625"/>
    <col min="2304" max="2304" width="5.54296875" bestFit="1" customWidth="1"/>
    <col min="2305" max="2305" width="9.36328125" customWidth="1"/>
    <col min="2306" max="2306" width="24.6328125" customWidth="1"/>
    <col min="2307" max="2307" width="11" bestFit="1" customWidth="1"/>
    <col min="2308" max="2308" width="7.54296875" bestFit="1" customWidth="1"/>
    <col min="2309" max="2309" width="13.54296875" customWidth="1"/>
    <col min="2310" max="2310" width="11.36328125" bestFit="1" customWidth="1"/>
    <col min="2311" max="2311" width="12" customWidth="1"/>
    <col min="2312" max="2312" width="15.453125" bestFit="1" customWidth="1"/>
    <col min="2313" max="2314" width="15.08984375" bestFit="1" customWidth="1"/>
    <col min="2315" max="2315" width="14.36328125" bestFit="1" customWidth="1"/>
    <col min="2316" max="2316" width="3.08984375" customWidth="1"/>
    <col min="2317" max="2317" width="6.453125" customWidth="1"/>
    <col min="2318" max="2559" width="8.90625"/>
    <col min="2560" max="2560" width="5.54296875" bestFit="1" customWidth="1"/>
    <col min="2561" max="2561" width="9.36328125" customWidth="1"/>
    <col min="2562" max="2562" width="24.6328125" customWidth="1"/>
    <col min="2563" max="2563" width="11" bestFit="1" customWidth="1"/>
    <col min="2564" max="2564" width="7.54296875" bestFit="1" customWidth="1"/>
    <col min="2565" max="2565" width="13.54296875" customWidth="1"/>
    <col min="2566" max="2566" width="11.36328125" bestFit="1" customWidth="1"/>
    <col min="2567" max="2567" width="12" customWidth="1"/>
    <col min="2568" max="2568" width="15.453125" bestFit="1" customWidth="1"/>
    <col min="2569" max="2570" width="15.08984375" bestFit="1" customWidth="1"/>
    <col min="2571" max="2571" width="14.36328125" bestFit="1" customWidth="1"/>
    <col min="2572" max="2572" width="3.08984375" customWidth="1"/>
    <col min="2573" max="2573" width="6.453125" customWidth="1"/>
    <col min="2574" max="2815" width="8.90625"/>
    <col min="2816" max="2816" width="5.54296875" bestFit="1" customWidth="1"/>
    <col min="2817" max="2817" width="9.36328125" customWidth="1"/>
    <col min="2818" max="2818" width="24.6328125" customWidth="1"/>
    <col min="2819" max="2819" width="11" bestFit="1" customWidth="1"/>
    <col min="2820" max="2820" width="7.54296875" bestFit="1" customWidth="1"/>
    <col min="2821" max="2821" width="13.54296875" customWidth="1"/>
    <col min="2822" max="2822" width="11.36328125" bestFit="1" customWidth="1"/>
    <col min="2823" max="2823" width="12" customWidth="1"/>
    <col min="2824" max="2824" width="15.453125" bestFit="1" customWidth="1"/>
    <col min="2825" max="2826" width="15.08984375" bestFit="1" customWidth="1"/>
    <col min="2827" max="2827" width="14.36328125" bestFit="1" customWidth="1"/>
    <col min="2828" max="2828" width="3.08984375" customWidth="1"/>
    <col min="2829" max="2829" width="6.453125" customWidth="1"/>
    <col min="2830" max="3071" width="8.90625"/>
    <col min="3072" max="3072" width="5.54296875" bestFit="1" customWidth="1"/>
    <col min="3073" max="3073" width="9.36328125" customWidth="1"/>
    <col min="3074" max="3074" width="24.6328125" customWidth="1"/>
    <col min="3075" max="3075" width="11" bestFit="1" customWidth="1"/>
    <col min="3076" max="3076" width="7.54296875" bestFit="1" customWidth="1"/>
    <col min="3077" max="3077" width="13.54296875" customWidth="1"/>
    <col min="3078" max="3078" width="11.36328125" bestFit="1" customWidth="1"/>
    <col min="3079" max="3079" width="12" customWidth="1"/>
    <col min="3080" max="3080" width="15.453125" bestFit="1" customWidth="1"/>
    <col min="3081" max="3082" width="15.08984375" bestFit="1" customWidth="1"/>
    <col min="3083" max="3083" width="14.36328125" bestFit="1" customWidth="1"/>
    <col min="3084" max="3084" width="3.08984375" customWidth="1"/>
    <col min="3085" max="3085" width="6.453125" customWidth="1"/>
    <col min="3086" max="3327" width="8.90625"/>
    <col min="3328" max="3328" width="5.54296875" bestFit="1" customWidth="1"/>
    <col min="3329" max="3329" width="9.36328125" customWidth="1"/>
    <col min="3330" max="3330" width="24.6328125" customWidth="1"/>
    <col min="3331" max="3331" width="11" bestFit="1" customWidth="1"/>
    <col min="3332" max="3332" width="7.54296875" bestFit="1" customWidth="1"/>
    <col min="3333" max="3333" width="13.54296875" customWidth="1"/>
    <col min="3334" max="3334" width="11.36328125" bestFit="1" customWidth="1"/>
    <col min="3335" max="3335" width="12" customWidth="1"/>
    <col min="3336" max="3336" width="15.453125" bestFit="1" customWidth="1"/>
    <col min="3337" max="3338" width="15.08984375" bestFit="1" customWidth="1"/>
    <col min="3339" max="3339" width="14.36328125" bestFit="1" customWidth="1"/>
    <col min="3340" max="3340" width="3.08984375" customWidth="1"/>
    <col min="3341" max="3341" width="6.453125" customWidth="1"/>
    <col min="3342" max="3583" width="8.90625"/>
    <col min="3584" max="3584" width="5.54296875" bestFit="1" customWidth="1"/>
    <col min="3585" max="3585" width="9.36328125" customWidth="1"/>
    <col min="3586" max="3586" width="24.6328125" customWidth="1"/>
    <col min="3587" max="3587" width="11" bestFit="1" customWidth="1"/>
    <col min="3588" max="3588" width="7.54296875" bestFit="1" customWidth="1"/>
    <col min="3589" max="3589" width="13.54296875" customWidth="1"/>
    <col min="3590" max="3590" width="11.36328125" bestFit="1" customWidth="1"/>
    <col min="3591" max="3591" width="12" customWidth="1"/>
    <col min="3592" max="3592" width="15.453125" bestFit="1" customWidth="1"/>
    <col min="3593" max="3594" width="15.08984375" bestFit="1" customWidth="1"/>
    <col min="3595" max="3595" width="14.36328125" bestFit="1" customWidth="1"/>
    <col min="3596" max="3596" width="3.08984375" customWidth="1"/>
    <col min="3597" max="3597" width="6.453125" customWidth="1"/>
    <col min="3598" max="3839" width="8.90625"/>
    <col min="3840" max="3840" width="5.54296875" bestFit="1" customWidth="1"/>
    <col min="3841" max="3841" width="9.36328125" customWidth="1"/>
    <col min="3842" max="3842" width="24.6328125" customWidth="1"/>
    <col min="3843" max="3843" width="11" bestFit="1" customWidth="1"/>
    <col min="3844" max="3844" width="7.54296875" bestFit="1" customWidth="1"/>
    <col min="3845" max="3845" width="13.54296875" customWidth="1"/>
    <col min="3846" max="3846" width="11.36328125" bestFit="1" customWidth="1"/>
    <col min="3847" max="3847" width="12" customWidth="1"/>
    <col min="3848" max="3848" width="15.453125" bestFit="1" customWidth="1"/>
    <col min="3849" max="3850" width="15.08984375" bestFit="1" customWidth="1"/>
    <col min="3851" max="3851" width="14.36328125" bestFit="1" customWidth="1"/>
    <col min="3852" max="3852" width="3.08984375" customWidth="1"/>
    <col min="3853" max="3853" width="6.453125" customWidth="1"/>
    <col min="3854" max="4095" width="8.90625"/>
    <col min="4096" max="4096" width="5.54296875" bestFit="1" customWidth="1"/>
    <col min="4097" max="4097" width="9.36328125" customWidth="1"/>
    <col min="4098" max="4098" width="24.6328125" customWidth="1"/>
    <col min="4099" max="4099" width="11" bestFit="1" customWidth="1"/>
    <col min="4100" max="4100" width="7.54296875" bestFit="1" customWidth="1"/>
    <col min="4101" max="4101" width="13.54296875" customWidth="1"/>
    <col min="4102" max="4102" width="11.36328125" bestFit="1" customWidth="1"/>
    <col min="4103" max="4103" width="12" customWidth="1"/>
    <col min="4104" max="4104" width="15.453125" bestFit="1" customWidth="1"/>
    <col min="4105" max="4106" width="15.08984375" bestFit="1" customWidth="1"/>
    <col min="4107" max="4107" width="14.36328125" bestFit="1" customWidth="1"/>
    <col min="4108" max="4108" width="3.08984375" customWidth="1"/>
    <col min="4109" max="4109" width="6.453125" customWidth="1"/>
    <col min="4110" max="4351" width="8.90625"/>
    <col min="4352" max="4352" width="5.54296875" bestFit="1" customWidth="1"/>
    <col min="4353" max="4353" width="9.36328125" customWidth="1"/>
    <col min="4354" max="4354" width="24.6328125" customWidth="1"/>
    <col min="4355" max="4355" width="11" bestFit="1" customWidth="1"/>
    <col min="4356" max="4356" width="7.54296875" bestFit="1" customWidth="1"/>
    <col min="4357" max="4357" width="13.54296875" customWidth="1"/>
    <col min="4358" max="4358" width="11.36328125" bestFit="1" customWidth="1"/>
    <col min="4359" max="4359" width="12" customWidth="1"/>
    <col min="4360" max="4360" width="15.453125" bestFit="1" customWidth="1"/>
    <col min="4361" max="4362" width="15.08984375" bestFit="1" customWidth="1"/>
    <col min="4363" max="4363" width="14.36328125" bestFit="1" customWidth="1"/>
    <col min="4364" max="4364" width="3.08984375" customWidth="1"/>
    <col min="4365" max="4365" width="6.453125" customWidth="1"/>
    <col min="4366" max="4607" width="8.90625"/>
    <col min="4608" max="4608" width="5.54296875" bestFit="1" customWidth="1"/>
    <col min="4609" max="4609" width="9.36328125" customWidth="1"/>
    <col min="4610" max="4610" width="24.6328125" customWidth="1"/>
    <col min="4611" max="4611" width="11" bestFit="1" customWidth="1"/>
    <col min="4612" max="4612" width="7.54296875" bestFit="1" customWidth="1"/>
    <col min="4613" max="4613" width="13.54296875" customWidth="1"/>
    <col min="4614" max="4614" width="11.36328125" bestFit="1" customWidth="1"/>
    <col min="4615" max="4615" width="12" customWidth="1"/>
    <col min="4616" max="4616" width="15.453125" bestFit="1" customWidth="1"/>
    <col min="4617" max="4618" width="15.08984375" bestFit="1" customWidth="1"/>
    <col min="4619" max="4619" width="14.36328125" bestFit="1" customWidth="1"/>
    <col min="4620" max="4620" width="3.08984375" customWidth="1"/>
    <col min="4621" max="4621" width="6.453125" customWidth="1"/>
    <col min="4622" max="4863" width="8.90625"/>
    <col min="4864" max="4864" width="5.54296875" bestFit="1" customWidth="1"/>
    <col min="4865" max="4865" width="9.36328125" customWidth="1"/>
    <col min="4866" max="4866" width="24.6328125" customWidth="1"/>
    <col min="4867" max="4867" width="11" bestFit="1" customWidth="1"/>
    <col min="4868" max="4868" width="7.54296875" bestFit="1" customWidth="1"/>
    <col min="4869" max="4869" width="13.54296875" customWidth="1"/>
    <col min="4870" max="4870" width="11.36328125" bestFit="1" customWidth="1"/>
    <col min="4871" max="4871" width="12" customWidth="1"/>
    <col min="4872" max="4872" width="15.453125" bestFit="1" customWidth="1"/>
    <col min="4873" max="4874" width="15.08984375" bestFit="1" customWidth="1"/>
    <col min="4875" max="4875" width="14.36328125" bestFit="1" customWidth="1"/>
    <col min="4876" max="4876" width="3.08984375" customWidth="1"/>
    <col min="4877" max="4877" width="6.453125" customWidth="1"/>
    <col min="4878" max="5119" width="8.90625"/>
    <col min="5120" max="5120" width="5.54296875" bestFit="1" customWidth="1"/>
    <col min="5121" max="5121" width="9.36328125" customWidth="1"/>
    <col min="5122" max="5122" width="24.6328125" customWidth="1"/>
    <col min="5123" max="5123" width="11" bestFit="1" customWidth="1"/>
    <col min="5124" max="5124" width="7.54296875" bestFit="1" customWidth="1"/>
    <col min="5125" max="5125" width="13.54296875" customWidth="1"/>
    <col min="5126" max="5126" width="11.36328125" bestFit="1" customWidth="1"/>
    <col min="5127" max="5127" width="12" customWidth="1"/>
    <col min="5128" max="5128" width="15.453125" bestFit="1" customWidth="1"/>
    <col min="5129" max="5130" width="15.08984375" bestFit="1" customWidth="1"/>
    <col min="5131" max="5131" width="14.36328125" bestFit="1" customWidth="1"/>
    <col min="5132" max="5132" width="3.08984375" customWidth="1"/>
    <col min="5133" max="5133" width="6.453125" customWidth="1"/>
    <col min="5134" max="5375" width="8.90625"/>
    <col min="5376" max="5376" width="5.54296875" bestFit="1" customWidth="1"/>
    <col min="5377" max="5377" width="9.36328125" customWidth="1"/>
    <col min="5378" max="5378" width="24.6328125" customWidth="1"/>
    <col min="5379" max="5379" width="11" bestFit="1" customWidth="1"/>
    <col min="5380" max="5380" width="7.54296875" bestFit="1" customWidth="1"/>
    <col min="5381" max="5381" width="13.54296875" customWidth="1"/>
    <col min="5382" max="5382" width="11.36328125" bestFit="1" customWidth="1"/>
    <col min="5383" max="5383" width="12" customWidth="1"/>
    <col min="5384" max="5384" width="15.453125" bestFit="1" customWidth="1"/>
    <col min="5385" max="5386" width="15.08984375" bestFit="1" customWidth="1"/>
    <col min="5387" max="5387" width="14.36328125" bestFit="1" customWidth="1"/>
    <col min="5388" max="5388" width="3.08984375" customWidth="1"/>
    <col min="5389" max="5389" width="6.453125" customWidth="1"/>
    <col min="5390" max="5631" width="8.90625"/>
    <col min="5632" max="5632" width="5.54296875" bestFit="1" customWidth="1"/>
    <col min="5633" max="5633" width="9.36328125" customWidth="1"/>
    <col min="5634" max="5634" width="24.6328125" customWidth="1"/>
    <col min="5635" max="5635" width="11" bestFit="1" customWidth="1"/>
    <col min="5636" max="5636" width="7.54296875" bestFit="1" customWidth="1"/>
    <col min="5637" max="5637" width="13.54296875" customWidth="1"/>
    <col min="5638" max="5638" width="11.36328125" bestFit="1" customWidth="1"/>
    <col min="5639" max="5639" width="12" customWidth="1"/>
    <col min="5640" max="5640" width="15.453125" bestFit="1" customWidth="1"/>
    <col min="5641" max="5642" width="15.08984375" bestFit="1" customWidth="1"/>
    <col min="5643" max="5643" width="14.36328125" bestFit="1" customWidth="1"/>
    <col min="5644" max="5644" width="3.08984375" customWidth="1"/>
    <col min="5645" max="5645" width="6.453125" customWidth="1"/>
    <col min="5646" max="5887" width="8.90625"/>
    <col min="5888" max="5888" width="5.54296875" bestFit="1" customWidth="1"/>
    <col min="5889" max="5889" width="9.36328125" customWidth="1"/>
    <col min="5890" max="5890" width="24.6328125" customWidth="1"/>
    <col min="5891" max="5891" width="11" bestFit="1" customWidth="1"/>
    <col min="5892" max="5892" width="7.54296875" bestFit="1" customWidth="1"/>
    <col min="5893" max="5893" width="13.54296875" customWidth="1"/>
    <col min="5894" max="5894" width="11.36328125" bestFit="1" customWidth="1"/>
    <col min="5895" max="5895" width="12" customWidth="1"/>
    <col min="5896" max="5896" width="15.453125" bestFit="1" customWidth="1"/>
    <col min="5897" max="5898" width="15.08984375" bestFit="1" customWidth="1"/>
    <col min="5899" max="5899" width="14.36328125" bestFit="1" customWidth="1"/>
    <col min="5900" max="5900" width="3.08984375" customWidth="1"/>
    <col min="5901" max="5901" width="6.453125" customWidth="1"/>
    <col min="5902" max="6143" width="8.90625"/>
    <col min="6144" max="6144" width="5.54296875" bestFit="1" customWidth="1"/>
    <col min="6145" max="6145" width="9.36328125" customWidth="1"/>
    <col min="6146" max="6146" width="24.6328125" customWidth="1"/>
    <col min="6147" max="6147" width="11" bestFit="1" customWidth="1"/>
    <col min="6148" max="6148" width="7.54296875" bestFit="1" customWidth="1"/>
    <col min="6149" max="6149" width="13.54296875" customWidth="1"/>
    <col min="6150" max="6150" width="11.36328125" bestFit="1" customWidth="1"/>
    <col min="6151" max="6151" width="12" customWidth="1"/>
    <col min="6152" max="6152" width="15.453125" bestFit="1" customWidth="1"/>
    <col min="6153" max="6154" width="15.08984375" bestFit="1" customWidth="1"/>
    <col min="6155" max="6155" width="14.36328125" bestFit="1" customWidth="1"/>
    <col min="6156" max="6156" width="3.08984375" customWidth="1"/>
    <col min="6157" max="6157" width="6.453125" customWidth="1"/>
    <col min="6158" max="6399" width="8.90625"/>
    <col min="6400" max="6400" width="5.54296875" bestFit="1" customWidth="1"/>
    <col min="6401" max="6401" width="9.36328125" customWidth="1"/>
    <col min="6402" max="6402" width="24.6328125" customWidth="1"/>
    <col min="6403" max="6403" width="11" bestFit="1" customWidth="1"/>
    <col min="6404" max="6404" width="7.54296875" bestFit="1" customWidth="1"/>
    <col min="6405" max="6405" width="13.54296875" customWidth="1"/>
    <col min="6406" max="6406" width="11.36328125" bestFit="1" customWidth="1"/>
    <col min="6407" max="6407" width="12" customWidth="1"/>
    <col min="6408" max="6408" width="15.453125" bestFit="1" customWidth="1"/>
    <col min="6409" max="6410" width="15.08984375" bestFit="1" customWidth="1"/>
    <col min="6411" max="6411" width="14.36328125" bestFit="1" customWidth="1"/>
    <col min="6412" max="6412" width="3.08984375" customWidth="1"/>
    <col min="6413" max="6413" width="6.453125" customWidth="1"/>
    <col min="6414" max="6655" width="8.90625"/>
    <col min="6656" max="6656" width="5.54296875" bestFit="1" customWidth="1"/>
    <col min="6657" max="6657" width="9.36328125" customWidth="1"/>
    <col min="6658" max="6658" width="24.6328125" customWidth="1"/>
    <col min="6659" max="6659" width="11" bestFit="1" customWidth="1"/>
    <col min="6660" max="6660" width="7.54296875" bestFit="1" customWidth="1"/>
    <col min="6661" max="6661" width="13.54296875" customWidth="1"/>
    <col min="6662" max="6662" width="11.36328125" bestFit="1" customWidth="1"/>
    <col min="6663" max="6663" width="12" customWidth="1"/>
    <col min="6664" max="6664" width="15.453125" bestFit="1" customWidth="1"/>
    <col min="6665" max="6666" width="15.08984375" bestFit="1" customWidth="1"/>
    <col min="6667" max="6667" width="14.36328125" bestFit="1" customWidth="1"/>
    <col min="6668" max="6668" width="3.08984375" customWidth="1"/>
    <col min="6669" max="6669" width="6.453125" customWidth="1"/>
    <col min="6670" max="6911" width="8.90625"/>
    <col min="6912" max="6912" width="5.54296875" bestFit="1" customWidth="1"/>
    <col min="6913" max="6913" width="9.36328125" customWidth="1"/>
    <col min="6914" max="6914" width="24.6328125" customWidth="1"/>
    <col min="6915" max="6915" width="11" bestFit="1" customWidth="1"/>
    <col min="6916" max="6916" width="7.54296875" bestFit="1" customWidth="1"/>
    <col min="6917" max="6917" width="13.54296875" customWidth="1"/>
    <col min="6918" max="6918" width="11.36328125" bestFit="1" customWidth="1"/>
    <col min="6919" max="6919" width="12" customWidth="1"/>
    <col min="6920" max="6920" width="15.453125" bestFit="1" customWidth="1"/>
    <col min="6921" max="6922" width="15.08984375" bestFit="1" customWidth="1"/>
    <col min="6923" max="6923" width="14.36328125" bestFit="1" customWidth="1"/>
    <col min="6924" max="6924" width="3.08984375" customWidth="1"/>
    <col min="6925" max="6925" width="6.453125" customWidth="1"/>
    <col min="6926" max="7167" width="8.90625"/>
    <col min="7168" max="7168" width="5.54296875" bestFit="1" customWidth="1"/>
    <col min="7169" max="7169" width="9.36328125" customWidth="1"/>
    <col min="7170" max="7170" width="24.6328125" customWidth="1"/>
    <col min="7171" max="7171" width="11" bestFit="1" customWidth="1"/>
    <col min="7172" max="7172" width="7.54296875" bestFit="1" customWidth="1"/>
    <col min="7173" max="7173" width="13.54296875" customWidth="1"/>
    <col min="7174" max="7174" width="11.36328125" bestFit="1" customWidth="1"/>
    <col min="7175" max="7175" width="12" customWidth="1"/>
    <col min="7176" max="7176" width="15.453125" bestFit="1" customWidth="1"/>
    <col min="7177" max="7178" width="15.08984375" bestFit="1" customWidth="1"/>
    <col min="7179" max="7179" width="14.36328125" bestFit="1" customWidth="1"/>
    <col min="7180" max="7180" width="3.08984375" customWidth="1"/>
    <col min="7181" max="7181" width="6.453125" customWidth="1"/>
    <col min="7182" max="7423" width="8.90625"/>
    <col min="7424" max="7424" width="5.54296875" bestFit="1" customWidth="1"/>
    <col min="7425" max="7425" width="9.36328125" customWidth="1"/>
    <col min="7426" max="7426" width="24.6328125" customWidth="1"/>
    <col min="7427" max="7427" width="11" bestFit="1" customWidth="1"/>
    <col min="7428" max="7428" width="7.54296875" bestFit="1" customWidth="1"/>
    <col min="7429" max="7429" width="13.54296875" customWidth="1"/>
    <col min="7430" max="7430" width="11.36328125" bestFit="1" customWidth="1"/>
    <col min="7431" max="7431" width="12" customWidth="1"/>
    <col min="7432" max="7432" width="15.453125" bestFit="1" customWidth="1"/>
    <col min="7433" max="7434" width="15.08984375" bestFit="1" customWidth="1"/>
    <col min="7435" max="7435" width="14.36328125" bestFit="1" customWidth="1"/>
    <col min="7436" max="7436" width="3.08984375" customWidth="1"/>
    <col min="7437" max="7437" width="6.453125" customWidth="1"/>
    <col min="7438" max="7679" width="8.90625"/>
    <col min="7680" max="7680" width="5.54296875" bestFit="1" customWidth="1"/>
    <col min="7681" max="7681" width="9.36328125" customWidth="1"/>
    <col min="7682" max="7682" width="24.6328125" customWidth="1"/>
    <col min="7683" max="7683" width="11" bestFit="1" customWidth="1"/>
    <col min="7684" max="7684" width="7.54296875" bestFit="1" customWidth="1"/>
    <col min="7685" max="7685" width="13.54296875" customWidth="1"/>
    <col min="7686" max="7686" width="11.36328125" bestFit="1" customWidth="1"/>
    <col min="7687" max="7687" width="12" customWidth="1"/>
    <col min="7688" max="7688" width="15.453125" bestFit="1" customWidth="1"/>
    <col min="7689" max="7690" width="15.08984375" bestFit="1" customWidth="1"/>
    <col min="7691" max="7691" width="14.36328125" bestFit="1" customWidth="1"/>
    <col min="7692" max="7692" width="3.08984375" customWidth="1"/>
    <col min="7693" max="7693" width="6.453125" customWidth="1"/>
    <col min="7694" max="7935" width="8.90625"/>
    <col min="7936" max="7936" width="5.54296875" bestFit="1" customWidth="1"/>
    <col min="7937" max="7937" width="9.36328125" customWidth="1"/>
    <col min="7938" max="7938" width="24.6328125" customWidth="1"/>
    <col min="7939" max="7939" width="11" bestFit="1" customWidth="1"/>
    <col min="7940" max="7940" width="7.54296875" bestFit="1" customWidth="1"/>
    <col min="7941" max="7941" width="13.54296875" customWidth="1"/>
    <col min="7942" max="7942" width="11.36328125" bestFit="1" customWidth="1"/>
    <col min="7943" max="7943" width="12" customWidth="1"/>
    <col min="7944" max="7944" width="15.453125" bestFit="1" customWidth="1"/>
    <col min="7945" max="7946" width="15.08984375" bestFit="1" customWidth="1"/>
    <col min="7947" max="7947" width="14.36328125" bestFit="1" customWidth="1"/>
    <col min="7948" max="7948" width="3.08984375" customWidth="1"/>
    <col min="7949" max="7949" width="6.453125" customWidth="1"/>
    <col min="7950" max="8191" width="8.90625"/>
    <col min="8192" max="8192" width="5.54296875" bestFit="1" customWidth="1"/>
    <col min="8193" max="8193" width="9.36328125" customWidth="1"/>
    <col min="8194" max="8194" width="24.6328125" customWidth="1"/>
    <col min="8195" max="8195" width="11" bestFit="1" customWidth="1"/>
    <col min="8196" max="8196" width="7.54296875" bestFit="1" customWidth="1"/>
    <col min="8197" max="8197" width="13.54296875" customWidth="1"/>
    <col min="8198" max="8198" width="11.36328125" bestFit="1" customWidth="1"/>
    <col min="8199" max="8199" width="12" customWidth="1"/>
    <col min="8200" max="8200" width="15.453125" bestFit="1" customWidth="1"/>
    <col min="8201" max="8202" width="15.08984375" bestFit="1" customWidth="1"/>
    <col min="8203" max="8203" width="14.36328125" bestFit="1" customWidth="1"/>
    <col min="8204" max="8204" width="3.08984375" customWidth="1"/>
    <col min="8205" max="8205" width="6.453125" customWidth="1"/>
    <col min="8206" max="8447" width="8.90625"/>
    <col min="8448" max="8448" width="5.54296875" bestFit="1" customWidth="1"/>
    <col min="8449" max="8449" width="9.36328125" customWidth="1"/>
    <col min="8450" max="8450" width="24.6328125" customWidth="1"/>
    <col min="8451" max="8451" width="11" bestFit="1" customWidth="1"/>
    <col min="8452" max="8452" width="7.54296875" bestFit="1" customWidth="1"/>
    <col min="8453" max="8453" width="13.54296875" customWidth="1"/>
    <col min="8454" max="8454" width="11.36328125" bestFit="1" customWidth="1"/>
    <col min="8455" max="8455" width="12" customWidth="1"/>
    <col min="8456" max="8456" width="15.453125" bestFit="1" customWidth="1"/>
    <col min="8457" max="8458" width="15.08984375" bestFit="1" customWidth="1"/>
    <col min="8459" max="8459" width="14.36328125" bestFit="1" customWidth="1"/>
    <col min="8460" max="8460" width="3.08984375" customWidth="1"/>
    <col min="8461" max="8461" width="6.453125" customWidth="1"/>
    <col min="8462" max="8703" width="8.90625"/>
    <col min="8704" max="8704" width="5.54296875" bestFit="1" customWidth="1"/>
    <col min="8705" max="8705" width="9.36328125" customWidth="1"/>
    <col min="8706" max="8706" width="24.6328125" customWidth="1"/>
    <col min="8707" max="8707" width="11" bestFit="1" customWidth="1"/>
    <col min="8708" max="8708" width="7.54296875" bestFit="1" customWidth="1"/>
    <col min="8709" max="8709" width="13.54296875" customWidth="1"/>
    <col min="8710" max="8710" width="11.36328125" bestFit="1" customWidth="1"/>
    <col min="8711" max="8711" width="12" customWidth="1"/>
    <col min="8712" max="8712" width="15.453125" bestFit="1" customWidth="1"/>
    <col min="8713" max="8714" width="15.08984375" bestFit="1" customWidth="1"/>
    <col min="8715" max="8715" width="14.36328125" bestFit="1" customWidth="1"/>
    <col min="8716" max="8716" width="3.08984375" customWidth="1"/>
    <col min="8717" max="8717" width="6.453125" customWidth="1"/>
    <col min="8718" max="8959" width="8.90625"/>
    <col min="8960" max="8960" width="5.54296875" bestFit="1" customWidth="1"/>
    <col min="8961" max="8961" width="9.36328125" customWidth="1"/>
    <col min="8962" max="8962" width="24.6328125" customWidth="1"/>
    <col min="8963" max="8963" width="11" bestFit="1" customWidth="1"/>
    <col min="8964" max="8964" width="7.54296875" bestFit="1" customWidth="1"/>
    <col min="8965" max="8965" width="13.54296875" customWidth="1"/>
    <col min="8966" max="8966" width="11.36328125" bestFit="1" customWidth="1"/>
    <col min="8967" max="8967" width="12" customWidth="1"/>
    <col min="8968" max="8968" width="15.453125" bestFit="1" customWidth="1"/>
    <col min="8969" max="8970" width="15.08984375" bestFit="1" customWidth="1"/>
    <col min="8971" max="8971" width="14.36328125" bestFit="1" customWidth="1"/>
    <col min="8972" max="8972" width="3.08984375" customWidth="1"/>
    <col min="8973" max="8973" width="6.453125" customWidth="1"/>
    <col min="8974" max="9215" width="8.90625"/>
    <col min="9216" max="9216" width="5.54296875" bestFit="1" customWidth="1"/>
    <col min="9217" max="9217" width="9.36328125" customWidth="1"/>
    <col min="9218" max="9218" width="24.6328125" customWidth="1"/>
    <col min="9219" max="9219" width="11" bestFit="1" customWidth="1"/>
    <col min="9220" max="9220" width="7.54296875" bestFit="1" customWidth="1"/>
    <col min="9221" max="9221" width="13.54296875" customWidth="1"/>
    <col min="9222" max="9222" width="11.36328125" bestFit="1" customWidth="1"/>
    <col min="9223" max="9223" width="12" customWidth="1"/>
    <col min="9224" max="9224" width="15.453125" bestFit="1" customWidth="1"/>
    <col min="9225" max="9226" width="15.08984375" bestFit="1" customWidth="1"/>
    <col min="9227" max="9227" width="14.36328125" bestFit="1" customWidth="1"/>
    <col min="9228" max="9228" width="3.08984375" customWidth="1"/>
    <col min="9229" max="9229" width="6.453125" customWidth="1"/>
    <col min="9230" max="9471" width="8.90625"/>
    <col min="9472" max="9472" width="5.54296875" bestFit="1" customWidth="1"/>
    <col min="9473" max="9473" width="9.36328125" customWidth="1"/>
    <col min="9474" max="9474" width="24.6328125" customWidth="1"/>
    <col min="9475" max="9475" width="11" bestFit="1" customWidth="1"/>
    <col min="9476" max="9476" width="7.54296875" bestFit="1" customWidth="1"/>
    <col min="9477" max="9477" width="13.54296875" customWidth="1"/>
    <col min="9478" max="9478" width="11.36328125" bestFit="1" customWidth="1"/>
    <col min="9479" max="9479" width="12" customWidth="1"/>
    <col min="9480" max="9480" width="15.453125" bestFit="1" customWidth="1"/>
    <col min="9481" max="9482" width="15.08984375" bestFit="1" customWidth="1"/>
    <col min="9483" max="9483" width="14.36328125" bestFit="1" customWidth="1"/>
    <col min="9484" max="9484" width="3.08984375" customWidth="1"/>
    <col min="9485" max="9485" width="6.453125" customWidth="1"/>
    <col min="9486" max="9727" width="8.90625"/>
    <col min="9728" max="9728" width="5.54296875" bestFit="1" customWidth="1"/>
    <col min="9729" max="9729" width="9.36328125" customWidth="1"/>
    <col min="9730" max="9730" width="24.6328125" customWidth="1"/>
    <col min="9731" max="9731" width="11" bestFit="1" customWidth="1"/>
    <col min="9732" max="9732" width="7.54296875" bestFit="1" customWidth="1"/>
    <col min="9733" max="9733" width="13.54296875" customWidth="1"/>
    <col min="9734" max="9734" width="11.36328125" bestFit="1" customWidth="1"/>
    <col min="9735" max="9735" width="12" customWidth="1"/>
    <col min="9736" max="9736" width="15.453125" bestFit="1" customWidth="1"/>
    <col min="9737" max="9738" width="15.08984375" bestFit="1" customWidth="1"/>
    <col min="9739" max="9739" width="14.36328125" bestFit="1" customWidth="1"/>
    <col min="9740" max="9740" width="3.08984375" customWidth="1"/>
    <col min="9741" max="9741" width="6.453125" customWidth="1"/>
    <col min="9742" max="9983" width="8.90625"/>
    <col min="9984" max="9984" width="5.54296875" bestFit="1" customWidth="1"/>
    <col min="9985" max="9985" width="9.36328125" customWidth="1"/>
    <col min="9986" max="9986" width="24.6328125" customWidth="1"/>
    <col min="9987" max="9987" width="11" bestFit="1" customWidth="1"/>
    <col min="9988" max="9988" width="7.54296875" bestFit="1" customWidth="1"/>
    <col min="9989" max="9989" width="13.54296875" customWidth="1"/>
    <col min="9990" max="9990" width="11.36328125" bestFit="1" customWidth="1"/>
    <col min="9991" max="9991" width="12" customWidth="1"/>
    <col min="9992" max="9992" width="15.453125" bestFit="1" customWidth="1"/>
    <col min="9993" max="9994" width="15.08984375" bestFit="1" customWidth="1"/>
    <col min="9995" max="9995" width="14.36328125" bestFit="1" customWidth="1"/>
    <col min="9996" max="9996" width="3.08984375" customWidth="1"/>
    <col min="9997" max="9997" width="6.453125" customWidth="1"/>
    <col min="9998" max="10239" width="8.90625"/>
    <col min="10240" max="10240" width="5.54296875" bestFit="1" customWidth="1"/>
    <col min="10241" max="10241" width="9.36328125" customWidth="1"/>
    <col min="10242" max="10242" width="24.6328125" customWidth="1"/>
    <col min="10243" max="10243" width="11" bestFit="1" customWidth="1"/>
    <col min="10244" max="10244" width="7.54296875" bestFit="1" customWidth="1"/>
    <col min="10245" max="10245" width="13.54296875" customWidth="1"/>
    <col min="10246" max="10246" width="11.36328125" bestFit="1" customWidth="1"/>
    <col min="10247" max="10247" width="12" customWidth="1"/>
    <col min="10248" max="10248" width="15.453125" bestFit="1" customWidth="1"/>
    <col min="10249" max="10250" width="15.08984375" bestFit="1" customWidth="1"/>
    <col min="10251" max="10251" width="14.36328125" bestFit="1" customWidth="1"/>
    <col min="10252" max="10252" width="3.08984375" customWidth="1"/>
    <col min="10253" max="10253" width="6.453125" customWidth="1"/>
    <col min="10254" max="10495" width="8.90625"/>
    <col min="10496" max="10496" width="5.54296875" bestFit="1" customWidth="1"/>
    <col min="10497" max="10497" width="9.36328125" customWidth="1"/>
    <col min="10498" max="10498" width="24.6328125" customWidth="1"/>
    <col min="10499" max="10499" width="11" bestFit="1" customWidth="1"/>
    <col min="10500" max="10500" width="7.54296875" bestFit="1" customWidth="1"/>
    <col min="10501" max="10501" width="13.54296875" customWidth="1"/>
    <col min="10502" max="10502" width="11.36328125" bestFit="1" customWidth="1"/>
    <col min="10503" max="10503" width="12" customWidth="1"/>
    <col min="10504" max="10504" width="15.453125" bestFit="1" customWidth="1"/>
    <col min="10505" max="10506" width="15.08984375" bestFit="1" customWidth="1"/>
    <col min="10507" max="10507" width="14.36328125" bestFit="1" customWidth="1"/>
    <col min="10508" max="10508" width="3.08984375" customWidth="1"/>
    <col min="10509" max="10509" width="6.453125" customWidth="1"/>
    <col min="10510" max="10751" width="8.90625"/>
    <col min="10752" max="10752" width="5.54296875" bestFit="1" customWidth="1"/>
    <col min="10753" max="10753" width="9.36328125" customWidth="1"/>
    <col min="10754" max="10754" width="24.6328125" customWidth="1"/>
    <col min="10755" max="10755" width="11" bestFit="1" customWidth="1"/>
    <col min="10756" max="10756" width="7.54296875" bestFit="1" customWidth="1"/>
    <col min="10757" max="10757" width="13.54296875" customWidth="1"/>
    <col min="10758" max="10758" width="11.36328125" bestFit="1" customWidth="1"/>
    <col min="10759" max="10759" width="12" customWidth="1"/>
    <col min="10760" max="10760" width="15.453125" bestFit="1" customWidth="1"/>
    <col min="10761" max="10762" width="15.08984375" bestFit="1" customWidth="1"/>
    <col min="10763" max="10763" width="14.36328125" bestFit="1" customWidth="1"/>
    <col min="10764" max="10764" width="3.08984375" customWidth="1"/>
    <col min="10765" max="10765" width="6.453125" customWidth="1"/>
    <col min="10766" max="11007" width="8.90625"/>
    <col min="11008" max="11008" width="5.54296875" bestFit="1" customWidth="1"/>
    <col min="11009" max="11009" width="9.36328125" customWidth="1"/>
    <col min="11010" max="11010" width="24.6328125" customWidth="1"/>
    <col min="11011" max="11011" width="11" bestFit="1" customWidth="1"/>
    <col min="11012" max="11012" width="7.54296875" bestFit="1" customWidth="1"/>
    <col min="11013" max="11013" width="13.54296875" customWidth="1"/>
    <col min="11014" max="11014" width="11.36328125" bestFit="1" customWidth="1"/>
    <col min="11015" max="11015" width="12" customWidth="1"/>
    <col min="11016" max="11016" width="15.453125" bestFit="1" customWidth="1"/>
    <col min="11017" max="11018" width="15.08984375" bestFit="1" customWidth="1"/>
    <col min="11019" max="11019" width="14.36328125" bestFit="1" customWidth="1"/>
    <col min="11020" max="11020" width="3.08984375" customWidth="1"/>
    <col min="11021" max="11021" width="6.453125" customWidth="1"/>
    <col min="11022" max="11263" width="8.90625"/>
    <col min="11264" max="11264" width="5.54296875" bestFit="1" customWidth="1"/>
    <col min="11265" max="11265" width="9.36328125" customWidth="1"/>
    <col min="11266" max="11266" width="24.6328125" customWidth="1"/>
    <col min="11267" max="11267" width="11" bestFit="1" customWidth="1"/>
    <col min="11268" max="11268" width="7.54296875" bestFit="1" customWidth="1"/>
    <col min="11269" max="11269" width="13.54296875" customWidth="1"/>
    <col min="11270" max="11270" width="11.36328125" bestFit="1" customWidth="1"/>
    <col min="11271" max="11271" width="12" customWidth="1"/>
    <col min="11272" max="11272" width="15.453125" bestFit="1" customWidth="1"/>
    <col min="11273" max="11274" width="15.08984375" bestFit="1" customWidth="1"/>
    <col min="11275" max="11275" width="14.36328125" bestFit="1" customWidth="1"/>
    <col min="11276" max="11276" width="3.08984375" customWidth="1"/>
    <col min="11277" max="11277" width="6.453125" customWidth="1"/>
    <col min="11278" max="11519" width="8.90625"/>
    <col min="11520" max="11520" width="5.54296875" bestFit="1" customWidth="1"/>
    <col min="11521" max="11521" width="9.36328125" customWidth="1"/>
    <col min="11522" max="11522" width="24.6328125" customWidth="1"/>
    <col min="11523" max="11523" width="11" bestFit="1" customWidth="1"/>
    <col min="11524" max="11524" width="7.54296875" bestFit="1" customWidth="1"/>
    <col min="11525" max="11525" width="13.54296875" customWidth="1"/>
    <col min="11526" max="11526" width="11.36328125" bestFit="1" customWidth="1"/>
    <col min="11527" max="11527" width="12" customWidth="1"/>
    <col min="11528" max="11528" width="15.453125" bestFit="1" customWidth="1"/>
    <col min="11529" max="11530" width="15.08984375" bestFit="1" customWidth="1"/>
    <col min="11531" max="11531" width="14.36328125" bestFit="1" customWidth="1"/>
    <col min="11532" max="11532" width="3.08984375" customWidth="1"/>
    <col min="11533" max="11533" width="6.453125" customWidth="1"/>
    <col min="11534" max="11775" width="8.90625"/>
    <col min="11776" max="11776" width="5.54296875" bestFit="1" customWidth="1"/>
    <col min="11777" max="11777" width="9.36328125" customWidth="1"/>
    <col min="11778" max="11778" width="24.6328125" customWidth="1"/>
    <col min="11779" max="11779" width="11" bestFit="1" customWidth="1"/>
    <col min="11780" max="11780" width="7.54296875" bestFit="1" customWidth="1"/>
    <col min="11781" max="11781" width="13.54296875" customWidth="1"/>
    <col min="11782" max="11782" width="11.36328125" bestFit="1" customWidth="1"/>
    <col min="11783" max="11783" width="12" customWidth="1"/>
    <col min="11784" max="11784" width="15.453125" bestFit="1" customWidth="1"/>
    <col min="11785" max="11786" width="15.08984375" bestFit="1" customWidth="1"/>
    <col min="11787" max="11787" width="14.36328125" bestFit="1" customWidth="1"/>
    <col min="11788" max="11788" width="3.08984375" customWidth="1"/>
    <col min="11789" max="11789" width="6.453125" customWidth="1"/>
    <col min="11790" max="12031" width="8.90625"/>
    <col min="12032" max="12032" width="5.54296875" bestFit="1" customWidth="1"/>
    <col min="12033" max="12033" width="9.36328125" customWidth="1"/>
    <col min="12034" max="12034" width="24.6328125" customWidth="1"/>
    <col min="12035" max="12035" width="11" bestFit="1" customWidth="1"/>
    <col min="12036" max="12036" width="7.54296875" bestFit="1" customWidth="1"/>
    <col min="12037" max="12037" width="13.54296875" customWidth="1"/>
    <col min="12038" max="12038" width="11.36328125" bestFit="1" customWidth="1"/>
    <col min="12039" max="12039" width="12" customWidth="1"/>
    <col min="12040" max="12040" width="15.453125" bestFit="1" customWidth="1"/>
    <col min="12041" max="12042" width="15.08984375" bestFit="1" customWidth="1"/>
    <col min="12043" max="12043" width="14.36328125" bestFit="1" customWidth="1"/>
    <col min="12044" max="12044" width="3.08984375" customWidth="1"/>
    <col min="12045" max="12045" width="6.453125" customWidth="1"/>
    <col min="12046" max="12287" width="8.90625"/>
    <col min="12288" max="12288" width="5.54296875" bestFit="1" customWidth="1"/>
    <col min="12289" max="12289" width="9.36328125" customWidth="1"/>
    <col min="12290" max="12290" width="24.6328125" customWidth="1"/>
    <col min="12291" max="12291" width="11" bestFit="1" customWidth="1"/>
    <col min="12292" max="12292" width="7.54296875" bestFit="1" customWidth="1"/>
    <col min="12293" max="12293" width="13.54296875" customWidth="1"/>
    <col min="12294" max="12294" width="11.36328125" bestFit="1" customWidth="1"/>
    <col min="12295" max="12295" width="12" customWidth="1"/>
    <col min="12296" max="12296" width="15.453125" bestFit="1" customWidth="1"/>
    <col min="12297" max="12298" width="15.08984375" bestFit="1" customWidth="1"/>
    <col min="12299" max="12299" width="14.36328125" bestFit="1" customWidth="1"/>
    <col min="12300" max="12300" width="3.08984375" customWidth="1"/>
    <col min="12301" max="12301" width="6.453125" customWidth="1"/>
    <col min="12302" max="12543" width="8.90625"/>
    <col min="12544" max="12544" width="5.54296875" bestFit="1" customWidth="1"/>
    <col min="12545" max="12545" width="9.36328125" customWidth="1"/>
    <col min="12546" max="12546" width="24.6328125" customWidth="1"/>
    <col min="12547" max="12547" width="11" bestFit="1" customWidth="1"/>
    <col min="12548" max="12548" width="7.54296875" bestFit="1" customWidth="1"/>
    <col min="12549" max="12549" width="13.54296875" customWidth="1"/>
    <col min="12550" max="12550" width="11.36328125" bestFit="1" customWidth="1"/>
    <col min="12551" max="12551" width="12" customWidth="1"/>
    <col min="12552" max="12552" width="15.453125" bestFit="1" customWidth="1"/>
    <col min="12553" max="12554" width="15.08984375" bestFit="1" customWidth="1"/>
    <col min="12555" max="12555" width="14.36328125" bestFit="1" customWidth="1"/>
    <col min="12556" max="12556" width="3.08984375" customWidth="1"/>
    <col min="12557" max="12557" width="6.453125" customWidth="1"/>
    <col min="12558" max="12799" width="8.90625"/>
    <col min="12800" max="12800" width="5.54296875" bestFit="1" customWidth="1"/>
    <col min="12801" max="12801" width="9.36328125" customWidth="1"/>
    <col min="12802" max="12802" width="24.6328125" customWidth="1"/>
    <col min="12803" max="12803" width="11" bestFit="1" customWidth="1"/>
    <col min="12804" max="12804" width="7.54296875" bestFit="1" customWidth="1"/>
    <col min="12805" max="12805" width="13.54296875" customWidth="1"/>
    <col min="12806" max="12806" width="11.36328125" bestFit="1" customWidth="1"/>
    <col min="12807" max="12807" width="12" customWidth="1"/>
    <col min="12808" max="12808" width="15.453125" bestFit="1" customWidth="1"/>
    <col min="12809" max="12810" width="15.08984375" bestFit="1" customWidth="1"/>
    <col min="12811" max="12811" width="14.36328125" bestFit="1" customWidth="1"/>
    <col min="12812" max="12812" width="3.08984375" customWidth="1"/>
    <col min="12813" max="12813" width="6.453125" customWidth="1"/>
    <col min="12814" max="13055" width="8.90625"/>
    <col min="13056" max="13056" width="5.54296875" bestFit="1" customWidth="1"/>
    <col min="13057" max="13057" width="9.36328125" customWidth="1"/>
    <col min="13058" max="13058" width="24.6328125" customWidth="1"/>
    <col min="13059" max="13059" width="11" bestFit="1" customWidth="1"/>
    <col min="13060" max="13060" width="7.54296875" bestFit="1" customWidth="1"/>
    <col min="13061" max="13061" width="13.54296875" customWidth="1"/>
    <col min="13062" max="13062" width="11.36328125" bestFit="1" customWidth="1"/>
    <col min="13063" max="13063" width="12" customWidth="1"/>
    <col min="13064" max="13064" width="15.453125" bestFit="1" customWidth="1"/>
    <col min="13065" max="13066" width="15.08984375" bestFit="1" customWidth="1"/>
    <col min="13067" max="13067" width="14.36328125" bestFit="1" customWidth="1"/>
    <col min="13068" max="13068" width="3.08984375" customWidth="1"/>
    <col min="13069" max="13069" width="6.453125" customWidth="1"/>
    <col min="13070" max="13311" width="8.90625"/>
    <col min="13312" max="13312" width="5.54296875" bestFit="1" customWidth="1"/>
    <col min="13313" max="13313" width="9.36328125" customWidth="1"/>
    <col min="13314" max="13314" width="24.6328125" customWidth="1"/>
    <col min="13315" max="13315" width="11" bestFit="1" customWidth="1"/>
    <col min="13316" max="13316" width="7.54296875" bestFit="1" customWidth="1"/>
    <col min="13317" max="13317" width="13.54296875" customWidth="1"/>
    <col min="13318" max="13318" width="11.36328125" bestFit="1" customWidth="1"/>
    <col min="13319" max="13319" width="12" customWidth="1"/>
    <col min="13320" max="13320" width="15.453125" bestFit="1" customWidth="1"/>
    <col min="13321" max="13322" width="15.08984375" bestFit="1" customWidth="1"/>
    <col min="13323" max="13323" width="14.36328125" bestFit="1" customWidth="1"/>
    <col min="13324" max="13324" width="3.08984375" customWidth="1"/>
    <col min="13325" max="13325" width="6.453125" customWidth="1"/>
    <col min="13326" max="13567" width="8.90625"/>
    <col min="13568" max="13568" width="5.54296875" bestFit="1" customWidth="1"/>
    <col min="13569" max="13569" width="9.36328125" customWidth="1"/>
    <col min="13570" max="13570" width="24.6328125" customWidth="1"/>
    <col min="13571" max="13571" width="11" bestFit="1" customWidth="1"/>
    <col min="13572" max="13572" width="7.54296875" bestFit="1" customWidth="1"/>
    <col min="13573" max="13573" width="13.54296875" customWidth="1"/>
    <col min="13574" max="13574" width="11.36328125" bestFit="1" customWidth="1"/>
    <col min="13575" max="13575" width="12" customWidth="1"/>
    <col min="13576" max="13576" width="15.453125" bestFit="1" customWidth="1"/>
    <col min="13577" max="13578" width="15.08984375" bestFit="1" customWidth="1"/>
    <col min="13579" max="13579" width="14.36328125" bestFit="1" customWidth="1"/>
    <col min="13580" max="13580" width="3.08984375" customWidth="1"/>
    <col min="13581" max="13581" width="6.453125" customWidth="1"/>
    <col min="13582" max="13823" width="8.90625"/>
    <col min="13824" max="13824" width="5.54296875" bestFit="1" customWidth="1"/>
    <col min="13825" max="13825" width="9.36328125" customWidth="1"/>
    <col min="13826" max="13826" width="24.6328125" customWidth="1"/>
    <col min="13827" max="13827" width="11" bestFit="1" customWidth="1"/>
    <col min="13828" max="13828" width="7.54296875" bestFit="1" customWidth="1"/>
    <col min="13829" max="13829" width="13.54296875" customWidth="1"/>
    <col min="13830" max="13830" width="11.36328125" bestFit="1" customWidth="1"/>
    <col min="13831" max="13831" width="12" customWidth="1"/>
    <col min="13832" max="13832" width="15.453125" bestFit="1" customWidth="1"/>
    <col min="13833" max="13834" width="15.08984375" bestFit="1" customWidth="1"/>
    <col min="13835" max="13835" width="14.36328125" bestFit="1" customWidth="1"/>
    <col min="13836" max="13836" width="3.08984375" customWidth="1"/>
    <col min="13837" max="13837" width="6.453125" customWidth="1"/>
    <col min="13838" max="14079" width="8.90625"/>
    <col min="14080" max="14080" width="5.54296875" bestFit="1" customWidth="1"/>
    <col min="14081" max="14081" width="9.36328125" customWidth="1"/>
    <col min="14082" max="14082" width="24.6328125" customWidth="1"/>
    <col min="14083" max="14083" width="11" bestFit="1" customWidth="1"/>
    <col min="14084" max="14084" width="7.54296875" bestFit="1" customWidth="1"/>
    <col min="14085" max="14085" width="13.54296875" customWidth="1"/>
    <col min="14086" max="14086" width="11.36328125" bestFit="1" customWidth="1"/>
    <col min="14087" max="14087" width="12" customWidth="1"/>
    <col min="14088" max="14088" width="15.453125" bestFit="1" customWidth="1"/>
    <col min="14089" max="14090" width="15.08984375" bestFit="1" customWidth="1"/>
    <col min="14091" max="14091" width="14.36328125" bestFit="1" customWidth="1"/>
    <col min="14092" max="14092" width="3.08984375" customWidth="1"/>
    <col min="14093" max="14093" width="6.453125" customWidth="1"/>
    <col min="14094" max="14335" width="8.90625"/>
    <col min="14336" max="14336" width="5.54296875" bestFit="1" customWidth="1"/>
    <col min="14337" max="14337" width="9.36328125" customWidth="1"/>
    <col min="14338" max="14338" width="24.6328125" customWidth="1"/>
    <col min="14339" max="14339" width="11" bestFit="1" customWidth="1"/>
    <col min="14340" max="14340" width="7.54296875" bestFit="1" customWidth="1"/>
    <col min="14341" max="14341" width="13.54296875" customWidth="1"/>
    <col min="14342" max="14342" width="11.36328125" bestFit="1" customWidth="1"/>
    <col min="14343" max="14343" width="12" customWidth="1"/>
    <col min="14344" max="14344" width="15.453125" bestFit="1" customWidth="1"/>
    <col min="14345" max="14346" width="15.08984375" bestFit="1" customWidth="1"/>
    <col min="14347" max="14347" width="14.36328125" bestFit="1" customWidth="1"/>
    <col min="14348" max="14348" width="3.08984375" customWidth="1"/>
    <col min="14349" max="14349" width="6.453125" customWidth="1"/>
    <col min="14350" max="14591" width="8.90625"/>
    <col min="14592" max="14592" width="5.54296875" bestFit="1" customWidth="1"/>
    <col min="14593" max="14593" width="9.36328125" customWidth="1"/>
    <col min="14594" max="14594" width="24.6328125" customWidth="1"/>
    <col min="14595" max="14595" width="11" bestFit="1" customWidth="1"/>
    <col min="14596" max="14596" width="7.54296875" bestFit="1" customWidth="1"/>
    <col min="14597" max="14597" width="13.54296875" customWidth="1"/>
    <col min="14598" max="14598" width="11.36328125" bestFit="1" customWidth="1"/>
    <col min="14599" max="14599" width="12" customWidth="1"/>
    <col min="14600" max="14600" width="15.453125" bestFit="1" customWidth="1"/>
    <col min="14601" max="14602" width="15.08984375" bestFit="1" customWidth="1"/>
    <col min="14603" max="14603" width="14.36328125" bestFit="1" customWidth="1"/>
    <col min="14604" max="14604" width="3.08984375" customWidth="1"/>
    <col min="14605" max="14605" width="6.453125" customWidth="1"/>
    <col min="14606" max="14847" width="8.90625"/>
    <col min="14848" max="14848" width="5.54296875" bestFit="1" customWidth="1"/>
    <col min="14849" max="14849" width="9.36328125" customWidth="1"/>
    <col min="14850" max="14850" width="24.6328125" customWidth="1"/>
    <col min="14851" max="14851" width="11" bestFit="1" customWidth="1"/>
    <col min="14852" max="14852" width="7.54296875" bestFit="1" customWidth="1"/>
    <col min="14853" max="14853" width="13.54296875" customWidth="1"/>
    <col min="14854" max="14854" width="11.36328125" bestFit="1" customWidth="1"/>
    <col min="14855" max="14855" width="12" customWidth="1"/>
    <col min="14856" max="14856" width="15.453125" bestFit="1" customWidth="1"/>
    <col min="14857" max="14858" width="15.08984375" bestFit="1" customWidth="1"/>
    <col min="14859" max="14859" width="14.36328125" bestFit="1" customWidth="1"/>
    <col min="14860" max="14860" width="3.08984375" customWidth="1"/>
    <col min="14861" max="14861" width="6.453125" customWidth="1"/>
    <col min="14862" max="15103" width="8.90625"/>
    <col min="15104" max="15104" width="5.54296875" bestFit="1" customWidth="1"/>
    <col min="15105" max="15105" width="9.36328125" customWidth="1"/>
    <col min="15106" max="15106" width="24.6328125" customWidth="1"/>
    <col min="15107" max="15107" width="11" bestFit="1" customWidth="1"/>
    <col min="15108" max="15108" width="7.54296875" bestFit="1" customWidth="1"/>
    <col min="15109" max="15109" width="13.54296875" customWidth="1"/>
    <col min="15110" max="15110" width="11.36328125" bestFit="1" customWidth="1"/>
    <col min="15111" max="15111" width="12" customWidth="1"/>
    <col min="15112" max="15112" width="15.453125" bestFit="1" customWidth="1"/>
    <col min="15113" max="15114" width="15.08984375" bestFit="1" customWidth="1"/>
    <col min="15115" max="15115" width="14.36328125" bestFit="1" customWidth="1"/>
    <col min="15116" max="15116" width="3.08984375" customWidth="1"/>
    <col min="15117" max="15117" width="6.453125" customWidth="1"/>
    <col min="15118" max="15359" width="8.90625"/>
    <col min="15360" max="15360" width="5.54296875" bestFit="1" customWidth="1"/>
    <col min="15361" max="15361" width="9.36328125" customWidth="1"/>
    <col min="15362" max="15362" width="24.6328125" customWidth="1"/>
    <col min="15363" max="15363" width="11" bestFit="1" customWidth="1"/>
    <col min="15364" max="15364" width="7.54296875" bestFit="1" customWidth="1"/>
    <col min="15365" max="15365" width="13.54296875" customWidth="1"/>
    <col min="15366" max="15366" width="11.36328125" bestFit="1" customWidth="1"/>
    <col min="15367" max="15367" width="12" customWidth="1"/>
    <col min="15368" max="15368" width="15.453125" bestFit="1" customWidth="1"/>
    <col min="15369" max="15370" width="15.08984375" bestFit="1" customWidth="1"/>
    <col min="15371" max="15371" width="14.36328125" bestFit="1" customWidth="1"/>
    <col min="15372" max="15372" width="3.08984375" customWidth="1"/>
    <col min="15373" max="15373" width="6.453125" customWidth="1"/>
    <col min="15374" max="15615" width="8.90625"/>
    <col min="15616" max="15616" width="5.54296875" bestFit="1" customWidth="1"/>
    <col min="15617" max="15617" width="9.36328125" customWidth="1"/>
    <col min="15618" max="15618" width="24.6328125" customWidth="1"/>
    <col min="15619" max="15619" width="11" bestFit="1" customWidth="1"/>
    <col min="15620" max="15620" width="7.54296875" bestFit="1" customWidth="1"/>
    <col min="15621" max="15621" width="13.54296875" customWidth="1"/>
    <col min="15622" max="15622" width="11.36328125" bestFit="1" customWidth="1"/>
    <col min="15623" max="15623" width="12" customWidth="1"/>
    <col min="15624" max="15624" width="15.453125" bestFit="1" customWidth="1"/>
    <col min="15625" max="15626" width="15.08984375" bestFit="1" customWidth="1"/>
    <col min="15627" max="15627" width="14.36328125" bestFit="1" customWidth="1"/>
    <col min="15628" max="15628" width="3.08984375" customWidth="1"/>
    <col min="15629" max="15629" width="6.453125" customWidth="1"/>
    <col min="15630" max="15871" width="8.90625"/>
    <col min="15872" max="15872" width="5.54296875" bestFit="1" customWidth="1"/>
    <col min="15873" max="15873" width="9.36328125" customWidth="1"/>
    <col min="15874" max="15874" width="24.6328125" customWidth="1"/>
    <col min="15875" max="15875" width="11" bestFit="1" customWidth="1"/>
    <col min="15876" max="15876" width="7.54296875" bestFit="1" customWidth="1"/>
    <col min="15877" max="15877" width="13.54296875" customWidth="1"/>
    <col min="15878" max="15878" width="11.36328125" bestFit="1" customWidth="1"/>
    <col min="15879" max="15879" width="12" customWidth="1"/>
    <col min="15880" max="15880" width="15.453125" bestFit="1" customWidth="1"/>
    <col min="15881" max="15882" width="15.08984375" bestFit="1" customWidth="1"/>
    <col min="15883" max="15883" width="14.36328125" bestFit="1" customWidth="1"/>
    <col min="15884" max="15884" width="3.08984375" customWidth="1"/>
    <col min="15885" max="15885" width="6.453125" customWidth="1"/>
    <col min="15886" max="16127" width="8.90625"/>
    <col min="16128" max="16128" width="5.54296875" bestFit="1" customWidth="1"/>
    <col min="16129" max="16129" width="9.36328125" customWidth="1"/>
    <col min="16130" max="16130" width="24.6328125" customWidth="1"/>
    <col min="16131" max="16131" width="11" bestFit="1" customWidth="1"/>
    <col min="16132" max="16132" width="7.54296875" bestFit="1" customWidth="1"/>
    <col min="16133" max="16133" width="13.54296875" customWidth="1"/>
    <col min="16134" max="16134" width="11.36328125" bestFit="1" customWidth="1"/>
    <col min="16135" max="16135" width="12" customWidth="1"/>
    <col min="16136" max="16136" width="15.453125" bestFit="1" customWidth="1"/>
    <col min="16137" max="16138" width="15.08984375" bestFit="1" customWidth="1"/>
    <col min="16139" max="16139" width="14.36328125" bestFit="1" customWidth="1"/>
    <col min="16140" max="16140" width="3.08984375" customWidth="1"/>
    <col min="16141" max="16141" width="6.453125" customWidth="1"/>
    <col min="16142" max="16384" width="8.90625"/>
  </cols>
  <sheetData>
    <row r="1" spans="1:22" ht="24.75" customHeight="1">
      <c r="A1" s="54"/>
      <c r="B1" s="54"/>
      <c r="C1" s="54"/>
      <c r="D1" s="54"/>
      <c r="E1" s="54"/>
      <c r="F1" s="54"/>
      <c r="G1" s="54"/>
      <c r="H1" s="54"/>
      <c r="I1" s="54"/>
      <c r="J1" s="55"/>
      <c r="K1" s="5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2" customFormat="1" ht="47.4" customHeight="1">
      <c r="A2" s="189" t="s">
        <v>15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M2" s="3"/>
      <c r="N2" s="37"/>
      <c r="O2" s="3"/>
      <c r="P2" s="3"/>
      <c r="Q2" s="3"/>
      <c r="R2" s="3"/>
      <c r="S2" s="3"/>
    </row>
    <row r="3" spans="1:22" ht="31.75" customHeight="1">
      <c r="A3" s="68" t="s">
        <v>0</v>
      </c>
      <c r="B3" s="69" t="s">
        <v>1</v>
      </c>
      <c r="C3" s="69" t="s">
        <v>1</v>
      </c>
      <c r="D3" s="69" t="s">
        <v>2</v>
      </c>
      <c r="E3" s="76" t="s">
        <v>12</v>
      </c>
      <c r="F3" s="70" t="s">
        <v>3</v>
      </c>
      <c r="G3" s="69" t="s">
        <v>4</v>
      </c>
      <c r="H3" s="70"/>
      <c r="I3" s="71" t="s">
        <v>6</v>
      </c>
      <c r="J3" s="72" t="s">
        <v>7</v>
      </c>
      <c r="K3" s="73" t="s">
        <v>5</v>
      </c>
      <c r="L3" s="4"/>
      <c r="M3" s="3"/>
      <c r="N3" s="3"/>
      <c r="O3" s="3"/>
      <c r="P3" s="3"/>
      <c r="Q3" s="3"/>
      <c r="R3" s="3"/>
      <c r="S3" s="3"/>
      <c r="T3" s="1"/>
      <c r="U3" s="1"/>
      <c r="V3" s="1"/>
    </row>
    <row r="4" spans="1:22" ht="4.25" customHeight="1" thickBot="1">
      <c r="A4" s="58"/>
      <c r="B4" s="59"/>
      <c r="C4" s="59"/>
      <c r="D4" s="59"/>
      <c r="E4" s="59"/>
      <c r="F4" s="57"/>
      <c r="G4" s="59"/>
      <c r="H4" s="57"/>
      <c r="I4" s="60"/>
      <c r="J4" s="61"/>
      <c r="K4" s="62"/>
      <c r="L4" s="4"/>
      <c r="M4" s="3"/>
      <c r="N4" s="3"/>
      <c r="O4" s="3"/>
      <c r="P4" s="3"/>
      <c r="Q4" s="3"/>
      <c r="R4" s="3"/>
      <c r="S4" s="3"/>
      <c r="T4" s="1"/>
      <c r="U4" s="1"/>
      <c r="V4" s="1"/>
    </row>
    <row r="5" spans="1:22" ht="41.4" customHeight="1">
      <c r="A5" s="63">
        <v>1</v>
      </c>
      <c r="B5" s="177">
        <v>46084</v>
      </c>
      <c r="C5" s="178"/>
      <c r="D5" s="64" t="s">
        <v>16</v>
      </c>
      <c r="E5" s="65"/>
      <c r="F5" s="66">
        <v>630.54999999999995</v>
      </c>
      <c r="G5" s="81">
        <v>600.73</v>
      </c>
      <c r="H5" s="82"/>
      <c r="I5" s="83">
        <f>F5*G5</f>
        <v>378790.3015</v>
      </c>
      <c r="J5" s="84"/>
      <c r="K5" s="67">
        <f>I5-J5</f>
        <v>378790.3015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0" customHeight="1">
      <c r="A6" s="26">
        <v>2</v>
      </c>
      <c r="B6" s="35"/>
      <c r="C6" s="15"/>
      <c r="D6" s="30" t="s">
        <v>17</v>
      </c>
      <c r="E6" s="32"/>
      <c r="F6" s="53">
        <v>3850</v>
      </c>
      <c r="G6" s="51">
        <v>931.39</v>
      </c>
      <c r="H6" s="52"/>
      <c r="I6" s="43">
        <f>F6*G6</f>
        <v>3585851.5</v>
      </c>
      <c r="J6" s="44"/>
      <c r="K6" s="45">
        <f>I6-J6+K5</f>
        <v>3964641.8015000001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40" customHeight="1">
      <c r="A7" s="26">
        <v>3</v>
      </c>
      <c r="B7" s="35"/>
      <c r="C7" s="35"/>
      <c r="D7" s="30" t="s">
        <v>18</v>
      </c>
      <c r="E7" s="36"/>
      <c r="F7" s="53">
        <v>700.90200000000027</v>
      </c>
      <c r="G7" s="46">
        <v>570</v>
      </c>
      <c r="H7" s="31"/>
      <c r="I7" s="43">
        <f>F7*G7</f>
        <v>399514.14000000013</v>
      </c>
      <c r="J7" s="44"/>
      <c r="K7" s="45">
        <f t="shared" ref="K7:K33" si="0">I7-J7+K6</f>
        <v>4364155.9415000007</v>
      </c>
      <c r="L7" s="1"/>
      <c r="M7" s="1"/>
      <c r="N7" s="105"/>
      <c r="O7" s="1"/>
      <c r="P7" s="1"/>
      <c r="Q7" s="1"/>
      <c r="R7" s="1"/>
      <c r="S7" s="1"/>
      <c r="T7" s="1"/>
      <c r="U7" s="1"/>
      <c r="V7" s="1"/>
    </row>
    <row r="8" spans="1:22" ht="40" customHeight="1">
      <c r="A8" s="26">
        <v>4</v>
      </c>
      <c r="B8" s="35"/>
      <c r="C8" s="35"/>
      <c r="D8" s="30" t="s">
        <v>19</v>
      </c>
      <c r="E8" s="36"/>
      <c r="F8" s="53">
        <v>5181.4520000000002</v>
      </c>
      <c r="G8" s="46">
        <v>18</v>
      </c>
      <c r="H8" s="31"/>
      <c r="I8" s="43">
        <f>F8*G8</f>
        <v>93266.135999999999</v>
      </c>
      <c r="J8" s="44"/>
      <c r="K8" s="45">
        <f t="shared" si="0"/>
        <v>4457422.0775000006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0" customHeight="1">
      <c r="A9" s="26">
        <v>5</v>
      </c>
      <c r="B9" s="35"/>
      <c r="C9" s="35"/>
      <c r="D9" s="30" t="s">
        <v>20</v>
      </c>
      <c r="E9" s="36"/>
      <c r="F9" s="53">
        <v>5181.4520000000002</v>
      </c>
      <c r="G9" s="46">
        <v>0.45382758182511307</v>
      </c>
      <c r="H9" s="31"/>
      <c r="I9" s="43">
        <f t="shared" ref="I9:I11" si="1">F9*G9</f>
        <v>2351.485831502896</v>
      </c>
      <c r="J9" s="44"/>
      <c r="K9" s="45">
        <f t="shared" si="0"/>
        <v>4459773.5633315034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40" customHeight="1">
      <c r="A10" s="26">
        <v>6</v>
      </c>
      <c r="B10" s="35"/>
      <c r="C10" s="35"/>
      <c r="D10" s="30" t="s">
        <v>21</v>
      </c>
      <c r="E10" s="36"/>
      <c r="F10" s="53">
        <v>5181.4520000000002</v>
      </c>
      <c r="G10" s="46">
        <v>0.4</v>
      </c>
      <c r="H10" s="31"/>
      <c r="I10" s="43">
        <f t="shared" si="1"/>
        <v>2072.5808000000002</v>
      </c>
      <c r="J10" s="44"/>
      <c r="K10" s="45">
        <f t="shared" si="0"/>
        <v>4461846.1441315031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40" customHeight="1">
      <c r="A11" s="26">
        <v>7</v>
      </c>
      <c r="B11" s="35"/>
      <c r="C11" s="35"/>
      <c r="D11" s="30" t="s">
        <v>22</v>
      </c>
      <c r="E11" s="36"/>
      <c r="F11" s="53">
        <v>5181.4520000000002</v>
      </c>
      <c r="G11" s="46">
        <v>60</v>
      </c>
      <c r="H11" s="31"/>
      <c r="I11" s="43">
        <f t="shared" si="1"/>
        <v>310887.12</v>
      </c>
      <c r="J11" s="44"/>
      <c r="K11" s="45">
        <f t="shared" si="0"/>
        <v>4772733.2641315032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40" customHeight="1">
      <c r="A12" s="26">
        <v>8</v>
      </c>
      <c r="B12" s="35"/>
      <c r="C12" s="35"/>
      <c r="D12" s="30" t="s">
        <v>23</v>
      </c>
      <c r="E12" s="36"/>
      <c r="F12" s="53"/>
      <c r="G12" s="46"/>
      <c r="H12" s="31"/>
      <c r="I12" s="43">
        <v>75000</v>
      </c>
      <c r="J12" s="44"/>
      <c r="K12" s="45">
        <f t="shared" si="0"/>
        <v>4847733.2641315032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40" customHeight="1">
      <c r="A13" s="26">
        <v>9</v>
      </c>
      <c r="B13" s="183" t="s">
        <v>101</v>
      </c>
      <c r="C13" s="184"/>
      <c r="D13" s="30" t="s">
        <v>90</v>
      </c>
      <c r="E13" s="122">
        <v>27500000</v>
      </c>
      <c r="F13" s="53"/>
      <c r="G13" s="123">
        <v>152000</v>
      </c>
      <c r="H13" s="31"/>
      <c r="I13" s="43">
        <f>E13/G13</f>
        <v>180.92105263157896</v>
      </c>
      <c r="J13" s="44"/>
      <c r="K13" s="45">
        <f t="shared" si="0"/>
        <v>4847914.1851841351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40" customHeight="1">
      <c r="A14" s="26">
        <v>10</v>
      </c>
      <c r="B14" s="185"/>
      <c r="C14" s="186"/>
      <c r="D14" s="30" t="s">
        <v>91</v>
      </c>
      <c r="E14" s="122">
        <v>42197370.5</v>
      </c>
      <c r="F14" s="53"/>
      <c r="G14" s="123">
        <v>152000</v>
      </c>
      <c r="H14" s="31"/>
      <c r="I14" s="43">
        <f t="shared" ref="I14:I21" si="2">E14/G14</f>
        <v>277.61427960526316</v>
      </c>
      <c r="J14" s="44"/>
      <c r="K14" s="45">
        <f t="shared" si="0"/>
        <v>4848191.7994637405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40" customHeight="1">
      <c r="A15" s="26">
        <v>11</v>
      </c>
      <c r="B15" s="185"/>
      <c r="C15" s="186"/>
      <c r="D15" s="30" t="s">
        <v>92</v>
      </c>
      <c r="E15" s="122">
        <v>630234562.5</v>
      </c>
      <c r="F15" s="53"/>
      <c r="G15" s="123">
        <v>152000</v>
      </c>
      <c r="H15" s="31"/>
      <c r="I15" s="43">
        <f t="shared" si="2"/>
        <v>4146.2800164473683</v>
      </c>
      <c r="J15" s="44"/>
      <c r="K15" s="45">
        <f t="shared" si="0"/>
        <v>4852338.079480188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0" customHeight="1">
      <c r="A16" s="26">
        <v>12</v>
      </c>
      <c r="B16" s="185"/>
      <c r="C16" s="186"/>
      <c r="D16" s="30" t="s">
        <v>93</v>
      </c>
      <c r="E16" s="122">
        <v>61195173.700000003</v>
      </c>
      <c r="F16" s="53"/>
      <c r="G16" s="123">
        <v>152000</v>
      </c>
      <c r="H16" s="31"/>
      <c r="I16" s="43">
        <f t="shared" si="2"/>
        <v>402.59982697368423</v>
      </c>
      <c r="J16" s="44"/>
      <c r="K16" s="45">
        <f t="shared" si="0"/>
        <v>4852740.6793071618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40" customHeight="1">
      <c r="A17" s="26">
        <v>13</v>
      </c>
      <c r="B17" s="185"/>
      <c r="C17" s="186"/>
      <c r="D17" s="30" t="s">
        <v>94</v>
      </c>
      <c r="E17" s="122">
        <v>443512575</v>
      </c>
      <c r="F17" s="53"/>
      <c r="G17" s="123">
        <v>152000</v>
      </c>
      <c r="H17" s="31"/>
      <c r="I17" s="43">
        <f t="shared" si="2"/>
        <v>2917.8458881578949</v>
      </c>
      <c r="J17" s="44"/>
      <c r="K17" s="45">
        <f t="shared" si="0"/>
        <v>4855658.5251953201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40" customHeight="1">
      <c r="A18" s="26">
        <v>14</v>
      </c>
      <c r="B18" s="185"/>
      <c r="C18" s="186"/>
      <c r="D18" s="30" t="s">
        <v>95</v>
      </c>
      <c r="E18" s="122">
        <v>17350356.5</v>
      </c>
      <c r="F18" s="53"/>
      <c r="G18" s="123">
        <v>152000</v>
      </c>
      <c r="H18" s="31"/>
      <c r="I18" s="43">
        <f t="shared" si="2"/>
        <v>114.14708223684211</v>
      </c>
      <c r="J18" s="44"/>
      <c r="K18" s="45">
        <f t="shared" si="0"/>
        <v>4855772.6722775567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40" customHeight="1">
      <c r="A19" s="26">
        <v>15</v>
      </c>
      <c r="B19" s="185"/>
      <c r="C19" s="186"/>
      <c r="D19" s="30" t="s">
        <v>96</v>
      </c>
      <c r="E19" s="122">
        <v>49420800</v>
      </c>
      <c r="F19" s="53"/>
      <c r="G19" s="123">
        <v>152000</v>
      </c>
      <c r="H19" s="31"/>
      <c r="I19" s="43">
        <f t="shared" si="2"/>
        <v>325.13684210526316</v>
      </c>
      <c r="J19" s="44"/>
      <c r="K19" s="45">
        <f t="shared" si="0"/>
        <v>4856097.8091196623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40" customHeight="1">
      <c r="A20" s="26">
        <v>16</v>
      </c>
      <c r="B20" s="185"/>
      <c r="C20" s="186"/>
      <c r="D20" s="30" t="s">
        <v>98</v>
      </c>
      <c r="E20" s="122">
        <v>33726000</v>
      </c>
      <c r="F20" s="53"/>
      <c r="G20" s="123">
        <v>152000</v>
      </c>
      <c r="H20" s="31"/>
      <c r="I20" s="43">
        <f t="shared" si="2"/>
        <v>221.88157894736841</v>
      </c>
      <c r="J20" s="44"/>
      <c r="K20" s="45">
        <f t="shared" si="0"/>
        <v>4856319.6906986097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40" customHeight="1">
      <c r="A21" s="26">
        <v>17</v>
      </c>
      <c r="B21" s="185"/>
      <c r="C21" s="186"/>
      <c r="D21" s="30" t="s">
        <v>99</v>
      </c>
      <c r="E21" s="122">
        <v>210000000</v>
      </c>
      <c r="F21" s="53"/>
      <c r="G21" s="123">
        <v>152000</v>
      </c>
      <c r="H21" s="31"/>
      <c r="I21" s="43">
        <f t="shared" si="2"/>
        <v>1381.578947368421</v>
      </c>
      <c r="J21" s="44"/>
      <c r="K21" s="45">
        <f t="shared" si="0"/>
        <v>4857701.2696459778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40" customHeight="1">
      <c r="A22" s="26">
        <v>18</v>
      </c>
      <c r="B22" s="185"/>
      <c r="C22" s="186"/>
      <c r="D22" s="30" t="s">
        <v>97</v>
      </c>
      <c r="E22" s="122"/>
      <c r="F22" s="53"/>
      <c r="G22" s="46"/>
      <c r="H22" s="31"/>
      <c r="I22" s="43">
        <v>350</v>
      </c>
      <c r="J22" s="44"/>
      <c r="K22" s="45">
        <f t="shared" si="0"/>
        <v>4858051.2696459778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0" customHeight="1">
      <c r="A23" s="26">
        <v>19</v>
      </c>
      <c r="B23" s="187"/>
      <c r="C23" s="188"/>
      <c r="D23" s="30" t="s">
        <v>100</v>
      </c>
      <c r="E23" s="36"/>
      <c r="F23" s="53">
        <f>F11</f>
        <v>5181.4520000000002</v>
      </c>
      <c r="G23" s="46">
        <v>2</v>
      </c>
      <c r="H23" s="31"/>
      <c r="I23" s="43">
        <f>F23*G23</f>
        <v>10362.904</v>
      </c>
      <c r="J23" s="44"/>
      <c r="K23" s="45">
        <f t="shared" si="0"/>
        <v>4868414.1736459779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40" customHeight="1">
      <c r="A24" s="26">
        <v>20</v>
      </c>
      <c r="B24" s="35"/>
      <c r="C24" s="35"/>
      <c r="D24" s="30" t="s">
        <v>102</v>
      </c>
      <c r="E24" s="36"/>
      <c r="F24" s="53">
        <v>2677.4</v>
      </c>
      <c r="G24" s="46">
        <f>I24/F24</f>
        <v>55.382087099424815</v>
      </c>
      <c r="H24" s="31"/>
      <c r="I24" s="43">
        <v>148280</v>
      </c>
      <c r="J24" s="44"/>
      <c r="K24" s="45">
        <f t="shared" si="0"/>
        <v>5016694.1736459779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40" customHeight="1">
      <c r="A25" s="26">
        <v>21</v>
      </c>
      <c r="B25" s="35"/>
      <c r="C25" s="35"/>
      <c r="D25" s="30" t="s">
        <v>138</v>
      </c>
      <c r="E25" s="36"/>
      <c r="F25" s="53">
        <v>2677.4</v>
      </c>
      <c r="G25" s="46">
        <f>I25/F25</f>
        <v>10.069470381713602</v>
      </c>
      <c r="H25" s="31"/>
      <c r="I25" s="43">
        <v>26960</v>
      </c>
      <c r="J25" s="44"/>
      <c r="K25" s="45">
        <f t="shared" si="0"/>
        <v>5043654.1736459779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40" customHeight="1">
      <c r="A26" s="26">
        <v>22</v>
      </c>
      <c r="B26" s="35"/>
      <c r="C26" s="35"/>
      <c r="D26" s="30" t="s">
        <v>111</v>
      </c>
      <c r="E26" s="36"/>
      <c r="F26" s="53">
        <v>1022.8000000000002</v>
      </c>
      <c r="G26" s="46">
        <v>5</v>
      </c>
      <c r="H26" s="31"/>
      <c r="I26" s="43">
        <f>F26*G26</f>
        <v>5114.0000000000009</v>
      </c>
      <c r="J26" s="44"/>
      <c r="K26" s="45">
        <f t="shared" si="0"/>
        <v>5048768.1736459779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40" customHeight="1">
      <c r="A27" s="26">
        <v>23</v>
      </c>
      <c r="B27" s="35"/>
      <c r="C27" s="35"/>
      <c r="D27" s="30" t="s">
        <v>123</v>
      </c>
      <c r="E27" s="36"/>
      <c r="F27" s="53"/>
      <c r="G27" s="46"/>
      <c r="H27" s="31"/>
      <c r="I27" s="43">
        <v>13599.415384615408</v>
      </c>
      <c r="J27" s="44"/>
      <c r="K27" s="45">
        <f t="shared" si="0"/>
        <v>5062367.5890305936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40" customHeight="1">
      <c r="A28" s="26">
        <v>24</v>
      </c>
      <c r="B28" s="35"/>
      <c r="C28" s="35"/>
      <c r="D28" s="30" t="s">
        <v>124</v>
      </c>
      <c r="E28" s="36"/>
      <c r="F28" s="53">
        <v>1595.2700000000004</v>
      </c>
      <c r="G28" s="46">
        <f>I28/F28</f>
        <v>136.54678427138663</v>
      </c>
      <c r="H28" s="31"/>
      <c r="I28" s="43">
        <v>217828.98854461499</v>
      </c>
      <c r="J28" s="44"/>
      <c r="K28" s="45">
        <f t="shared" si="0"/>
        <v>5280196.5775752086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40" customHeight="1">
      <c r="A29" s="26">
        <v>25</v>
      </c>
      <c r="B29" s="35"/>
      <c r="C29" s="35"/>
      <c r="D29" s="30" t="s">
        <v>134</v>
      </c>
      <c r="E29" s="36"/>
      <c r="F29" s="53">
        <v>1595.2700000000004</v>
      </c>
      <c r="G29" s="46">
        <v>5</v>
      </c>
      <c r="H29" s="31"/>
      <c r="I29" s="43">
        <f>F29*G29</f>
        <v>7976.3500000000022</v>
      </c>
      <c r="J29" s="44"/>
      <c r="K29" s="45">
        <f t="shared" si="0"/>
        <v>5288172.9275752082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40" customHeight="1">
      <c r="A30" s="26">
        <v>26</v>
      </c>
      <c r="B30" s="35"/>
      <c r="C30" s="35"/>
      <c r="D30" s="30" t="s">
        <v>135</v>
      </c>
      <c r="E30" s="36"/>
      <c r="F30" s="53">
        <v>2470</v>
      </c>
      <c r="G30" s="46">
        <v>950</v>
      </c>
      <c r="H30" s="31"/>
      <c r="I30" s="43"/>
      <c r="J30" s="44">
        <f>F30*G30</f>
        <v>2346500</v>
      </c>
      <c r="K30" s="45">
        <f t="shared" si="0"/>
        <v>2941672.9275752082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40" customHeight="1">
      <c r="A31" s="26">
        <v>27</v>
      </c>
      <c r="B31" s="35"/>
      <c r="C31" s="35"/>
      <c r="D31" s="30" t="s">
        <v>86</v>
      </c>
      <c r="E31" s="36"/>
      <c r="F31" s="53">
        <v>1022.8000000000002</v>
      </c>
      <c r="G31" s="46">
        <v>1030</v>
      </c>
      <c r="H31" s="31"/>
      <c r="I31" s="43"/>
      <c r="J31" s="44">
        <f>F31*G31</f>
        <v>1053484.0000000002</v>
      </c>
      <c r="K31" s="45">
        <f t="shared" si="0"/>
        <v>1888188.927575208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40" customHeight="1">
      <c r="A32" s="26">
        <v>28</v>
      </c>
      <c r="B32" s="35"/>
      <c r="C32" s="35"/>
      <c r="D32" s="30" t="s">
        <v>24</v>
      </c>
      <c r="E32" s="36"/>
      <c r="F32" s="53">
        <v>1593.2799999999997</v>
      </c>
      <c r="G32" s="46">
        <f>J32/F32</f>
        <v>1196.9348764812212</v>
      </c>
      <c r="H32" s="31"/>
      <c r="I32" s="43"/>
      <c r="J32" s="44">
        <v>1907052.4</v>
      </c>
      <c r="K32" s="45">
        <f t="shared" si="0"/>
        <v>-18863.472424791893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40" customHeight="1">
      <c r="A33" s="26">
        <v>29</v>
      </c>
      <c r="B33" s="35"/>
      <c r="C33" s="35"/>
      <c r="D33" s="30" t="s">
        <v>136</v>
      </c>
      <c r="E33" s="36"/>
      <c r="F33" s="53">
        <f>F8</f>
        <v>5181.4520000000002</v>
      </c>
      <c r="G33" s="46">
        <f>I33/F33</f>
        <v>3.640576507278634</v>
      </c>
      <c r="H33" s="31"/>
      <c r="I33" s="43">
        <f>K32-K32-K32</f>
        <v>18863.472424791893</v>
      </c>
      <c r="J33" s="44"/>
      <c r="K33" s="45">
        <f t="shared" si="0"/>
        <v>0</v>
      </c>
      <c r="L33" s="1"/>
      <c r="M33" s="1"/>
      <c r="N33" s="176"/>
      <c r="O33" s="1"/>
      <c r="P33" s="1"/>
      <c r="Q33" s="1"/>
      <c r="R33" s="1"/>
      <c r="S33" s="1"/>
      <c r="T33" s="1"/>
      <c r="U33" s="1"/>
      <c r="V33" s="1"/>
    </row>
    <row r="34" spans="1:22" ht="40" customHeight="1" thickBot="1">
      <c r="A34" s="27"/>
      <c r="B34" s="28"/>
      <c r="C34" s="28"/>
      <c r="D34" s="33"/>
      <c r="E34" s="38"/>
      <c r="F34" s="39"/>
      <c r="G34" s="40"/>
      <c r="H34" s="34"/>
      <c r="I34" s="41"/>
      <c r="J34" s="42"/>
      <c r="K34" s="29"/>
      <c r="L34" s="1"/>
      <c r="M34" s="1"/>
      <c r="N34" s="80"/>
      <c r="O34" s="1"/>
      <c r="P34" s="1"/>
      <c r="Q34" s="1"/>
      <c r="R34" s="1"/>
      <c r="S34" s="1"/>
      <c r="T34" s="1"/>
      <c r="U34" s="1"/>
      <c r="V34" s="1"/>
    </row>
    <row r="35" spans="1:22">
      <c r="A35" s="5"/>
      <c r="B35" s="6"/>
      <c r="C35" s="7"/>
      <c r="D35" s="8"/>
      <c r="E35" s="9"/>
      <c r="F35" s="10"/>
      <c r="G35" s="11"/>
      <c r="H35" s="10"/>
      <c r="I35" s="12"/>
      <c r="J35" s="13"/>
      <c r="K35" s="14"/>
      <c r="L35" s="1"/>
      <c r="M35" s="1"/>
      <c r="N35" s="80"/>
      <c r="O35" s="1"/>
      <c r="P35" s="1"/>
      <c r="Q35" s="1"/>
      <c r="R35" s="1"/>
      <c r="S35" s="1"/>
      <c r="T35" s="1"/>
      <c r="U35" s="1"/>
      <c r="V35" s="1"/>
    </row>
    <row r="36" spans="1:22">
      <c r="A36" s="5"/>
      <c r="B36" s="6"/>
      <c r="C36" s="7"/>
      <c r="D36" s="8"/>
      <c r="E36" s="9"/>
      <c r="F36" s="10"/>
      <c r="G36" s="11"/>
      <c r="H36" s="10"/>
      <c r="I36" s="74">
        <f>SUM(I5:I33)</f>
        <v>5307036.4000000004</v>
      </c>
      <c r="J36" s="75">
        <f>SUM(J5:J33)</f>
        <v>5307036.4000000004</v>
      </c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5"/>
      <c r="B37" s="6"/>
      <c r="C37" s="7"/>
      <c r="D37" s="8"/>
      <c r="E37" s="9"/>
      <c r="F37" s="10"/>
      <c r="G37" s="11"/>
      <c r="H37" s="10"/>
      <c r="I37" s="12"/>
      <c r="J37" s="13"/>
      <c r="K37" s="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5"/>
      <c r="B38" s="6"/>
      <c r="C38" s="7"/>
      <c r="D38" s="8"/>
      <c r="E38" s="9"/>
      <c r="F38" s="10"/>
      <c r="G38" s="11"/>
      <c r="H38" s="10"/>
      <c r="I38" s="12"/>
      <c r="J38" s="13"/>
      <c r="K38" s="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5"/>
      <c r="B39" s="6"/>
      <c r="C39" s="7"/>
      <c r="D39" s="8"/>
      <c r="E39" s="9"/>
      <c r="F39" s="10"/>
      <c r="G39" s="11"/>
      <c r="H39" s="10"/>
      <c r="I39" s="12"/>
      <c r="J39" s="13"/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5"/>
      <c r="B40" s="6"/>
      <c r="C40" s="7"/>
      <c r="D40" s="8"/>
      <c r="E40" s="9"/>
      <c r="F40" s="10"/>
      <c r="G40" s="11"/>
      <c r="H40" s="10"/>
      <c r="I40" s="12"/>
      <c r="J40" s="13"/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5"/>
      <c r="B41" s="6"/>
      <c r="C41" s="7"/>
      <c r="D41" s="8"/>
      <c r="E41" s="9"/>
      <c r="F41" s="10"/>
      <c r="G41" s="11"/>
      <c r="H41" s="10"/>
      <c r="I41" s="12"/>
      <c r="J41" s="13"/>
      <c r="K41" s="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5"/>
      <c r="B42" s="6"/>
      <c r="C42" s="7"/>
      <c r="D42" s="8"/>
      <c r="E42" s="9"/>
      <c r="F42" s="10"/>
      <c r="G42" s="11"/>
      <c r="H42" s="10"/>
      <c r="I42" s="12"/>
      <c r="J42" s="13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5"/>
      <c r="B43" s="6"/>
      <c r="C43" s="7"/>
      <c r="D43" s="8"/>
      <c r="E43" s="9"/>
      <c r="F43" s="10"/>
      <c r="G43" s="11"/>
      <c r="H43" s="10"/>
      <c r="I43" s="12"/>
      <c r="J43" s="13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5"/>
      <c r="B44" s="6"/>
      <c r="C44" s="7"/>
      <c r="D44" s="8"/>
      <c r="E44" s="9"/>
      <c r="F44" s="10"/>
      <c r="G44" s="11"/>
      <c r="H44" s="10"/>
      <c r="I44" s="12"/>
      <c r="J44" s="13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5"/>
      <c r="B45" s="6"/>
      <c r="C45" s="7"/>
      <c r="D45" s="8"/>
      <c r="E45" s="9"/>
      <c r="F45" s="10"/>
      <c r="G45" s="11"/>
      <c r="H45" s="10"/>
      <c r="I45" s="12"/>
      <c r="J45" s="13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5"/>
      <c r="B46" s="6"/>
      <c r="C46" s="7"/>
      <c r="D46" s="8"/>
      <c r="E46" s="9"/>
      <c r="F46" s="10"/>
      <c r="G46" s="11"/>
      <c r="H46" s="10"/>
      <c r="I46" s="12"/>
      <c r="J46" s="13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5"/>
      <c r="B47" s="6"/>
      <c r="C47" s="7"/>
      <c r="D47" s="8"/>
      <c r="E47" s="9"/>
      <c r="F47" s="10"/>
      <c r="G47" s="11"/>
      <c r="H47" s="10"/>
      <c r="I47" s="12"/>
      <c r="J47" s="13"/>
      <c r="K47" s="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5"/>
      <c r="B48" s="6"/>
      <c r="C48" s="7"/>
      <c r="D48" s="8"/>
      <c r="E48" s="9"/>
      <c r="F48" s="10"/>
      <c r="G48" s="11"/>
      <c r="H48" s="10"/>
      <c r="I48" s="12"/>
      <c r="J48" s="13"/>
      <c r="K48" s="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5"/>
      <c r="B49" s="6"/>
      <c r="C49" s="7"/>
      <c r="D49" s="8"/>
      <c r="E49" s="9"/>
      <c r="F49" s="10"/>
      <c r="G49" s="11"/>
      <c r="H49" s="10"/>
      <c r="I49" s="12"/>
      <c r="J49" s="13"/>
      <c r="K49" s="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5"/>
      <c r="B50" s="6"/>
      <c r="C50" s="7"/>
      <c r="D50" s="8"/>
      <c r="E50" s="9"/>
      <c r="F50" s="10"/>
      <c r="G50" s="11"/>
      <c r="H50" s="10"/>
      <c r="I50" s="12"/>
      <c r="J50" s="13"/>
      <c r="K50" s="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5"/>
      <c r="B51" s="6"/>
      <c r="C51" s="7"/>
      <c r="D51" s="8"/>
      <c r="E51" s="9"/>
      <c r="F51" s="10"/>
      <c r="G51" s="11"/>
      <c r="H51" s="10"/>
      <c r="I51" s="12"/>
      <c r="J51" s="13"/>
      <c r="K51" s="1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5"/>
      <c r="B52" s="6"/>
      <c r="C52" s="7"/>
      <c r="D52" s="8"/>
      <c r="E52" s="9"/>
      <c r="F52" s="10"/>
      <c r="G52" s="11"/>
      <c r="H52" s="10"/>
      <c r="I52" s="12"/>
      <c r="J52" s="13"/>
      <c r="K52" s="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5"/>
      <c r="B53" s="6"/>
      <c r="C53" s="7"/>
      <c r="D53" s="8"/>
      <c r="E53" s="9"/>
      <c r="F53" s="10"/>
      <c r="G53" s="11"/>
      <c r="H53" s="10"/>
      <c r="I53" s="12"/>
      <c r="J53" s="13"/>
      <c r="K53" s="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5"/>
      <c r="B54" s="6"/>
      <c r="C54" s="7"/>
      <c r="D54" s="8"/>
      <c r="E54" s="9"/>
      <c r="F54" s="10"/>
      <c r="G54" s="11"/>
      <c r="H54" s="10"/>
      <c r="I54" s="12"/>
      <c r="J54" s="13"/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5"/>
      <c r="B55" s="6"/>
      <c r="C55" s="7"/>
      <c r="D55" s="8"/>
      <c r="E55" s="9"/>
      <c r="F55" s="10"/>
      <c r="G55" s="11"/>
      <c r="H55" s="10"/>
      <c r="I55" s="12"/>
      <c r="J55" s="13"/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5"/>
      <c r="B56" s="6"/>
      <c r="C56" s="7"/>
      <c r="D56" s="8"/>
      <c r="E56" s="9"/>
      <c r="F56" s="10"/>
      <c r="G56" s="11"/>
      <c r="H56" s="10"/>
      <c r="I56" s="12"/>
      <c r="J56" s="13"/>
      <c r="K56" s="1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5"/>
      <c r="B57" s="6"/>
      <c r="C57" s="7"/>
      <c r="D57" s="8"/>
      <c r="E57" s="9"/>
      <c r="F57" s="10"/>
      <c r="G57" s="11"/>
      <c r="H57" s="10"/>
      <c r="I57" s="12"/>
      <c r="J57" s="13"/>
      <c r="K57" s="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5"/>
      <c r="B58" s="6"/>
      <c r="C58" s="7"/>
      <c r="D58" s="8"/>
      <c r="E58" s="9"/>
      <c r="F58" s="10"/>
      <c r="G58" s="11"/>
      <c r="H58" s="10"/>
      <c r="I58" s="12"/>
      <c r="J58" s="13"/>
      <c r="K58" s="14"/>
    </row>
  </sheetData>
  <mergeCells count="2">
    <mergeCell ref="B13:C23"/>
    <mergeCell ref="A2:K2"/>
  </mergeCells>
  <pageMargins left="0" right="0" top="0" bottom="0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بارگیری از امیرآباد به روزنک</vt:lpstr>
      <vt:lpstr>فروش برای شرکت نفت و گاز </vt:lpstr>
      <vt:lpstr>خط آهن امیرآباد الی شمتیغ</vt:lpstr>
      <vt:lpstr>خط آهن شمتیغ الی روزنک</vt:lpstr>
      <vt:lpstr>فروشات هرات</vt:lpstr>
      <vt:lpstr>کرایه روزنک الی هرات</vt:lpstr>
      <vt:lpstr>Sheet1</vt:lpstr>
      <vt:lpstr>محصولی</vt:lpstr>
      <vt:lpstr>بیلانس</vt:lpstr>
      <vt:lpstr>بیلانس!Print_Area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2026-07-07T21:55:28Z</dcterms:modified>
</cp:coreProperties>
</file>